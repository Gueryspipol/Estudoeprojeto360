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ggregabeneficios468.sharepoint.com/sites/COMERCIAL/Documentos Compartilhados/COTAÇÃO - SERVIDOR/_MATRIZ/Cliente Novo/Apresentações/"/>
    </mc:Choice>
  </mc:AlternateContent>
  <xr:revisionPtr revIDLastSave="73" documentId="11_965A57CFCF5AD04A38EBF3514A1D9AFE7625D1CC" xr6:coauthVersionLast="47" xr6:coauthVersionMax="47" xr10:uidLastSave="{002A5900-09B4-5A4B-84F5-AEF4DFDC1AAF}"/>
  <bookViews>
    <workbookView xWindow="17172" yWindow="-2256" windowWidth="23256" windowHeight="12456" tabRatio="841" xr2:uid="{00000000-000D-0000-FFFF-FFFF00000000}"/>
  </bookViews>
  <sheets>
    <sheet name="Produtos Atuais" sheetId="1" r:id="rId1"/>
    <sheet name="Elegibilidade" sheetId="2" r:id="rId2"/>
    <sheet name="Faixa Etária" sheetId="3" r:id="rId3"/>
    <sheet name="Equivalência" sheetId="4" r:id="rId4"/>
    <sheet name="Análise Financeira CC" sheetId="5" r:id="rId5"/>
    <sheet name="Impacto Financeiro CC" sheetId="6" r:id="rId6"/>
    <sheet name="Análise Financeira SC" sheetId="7" r:id="rId7"/>
    <sheet name="Impacto Financeiro SC" sheetId="8" r:id="rId8"/>
    <sheet name="Economi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J4" i="1"/>
  <c r="J2" i="1"/>
  <c r="J3" i="1"/>
  <c r="B49" i="7" l="1"/>
  <c r="B44" i="7"/>
  <c r="B39" i="7"/>
  <c r="B34" i="7"/>
  <c r="B36" i="7" s="1"/>
  <c r="B29" i="7"/>
  <c r="C29" i="7" s="1"/>
  <c r="D29" i="7" s="1"/>
  <c r="B24" i="7"/>
  <c r="C24" i="7" s="1"/>
  <c r="D24" i="7" s="1"/>
  <c r="E24" i="7" s="1"/>
  <c r="F24" i="7" s="1"/>
  <c r="G24" i="7" s="1"/>
  <c r="B19" i="7"/>
  <c r="C19" i="7" s="1"/>
  <c r="D19" i="7" s="1"/>
  <c r="E19" i="7" s="1"/>
  <c r="F19" i="7" s="1"/>
  <c r="G19" i="7" s="1"/>
  <c r="B14" i="7"/>
  <c r="C14" i="7" s="1"/>
  <c r="D14" i="7" s="1"/>
  <c r="E14" i="7" s="1"/>
  <c r="F14" i="7" s="1"/>
  <c r="G14" i="7" s="1"/>
  <c r="B9" i="7"/>
  <c r="C9" i="7" s="1"/>
  <c r="D9" i="7" s="1"/>
  <c r="E9" i="7" s="1"/>
  <c r="F9" i="7" s="1"/>
  <c r="G9" i="7" s="1"/>
  <c r="B4" i="7"/>
  <c r="C4" i="7" s="1"/>
  <c r="D4" i="7" s="1"/>
  <c r="E4" i="7" s="1"/>
  <c r="F4" i="7" s="1"/>
  <c r="G4" i="7" s="1"/>
  <c r="C39" i="7"/>
  <c r="D39" i="7" s="1"/>
  <c r="E39" i="7" s="1"/>
  <c r="C44" i="7"/>
  <c r="D44" i="7" s="1"/>
  <c r="E44" i="7" s="1"/>
  <c r="F44" i="7" s="1"/>
  <c r="G44" i="7" s="1"/>
  <c r="G46" i="7" s="1"/>
  <c r="B50" i="7"/>
  <c r="G48" i="7"/>
  <c r="F48" i="7"/>
  <c r="E48" i="7"/>
  <c r="D48" i="7"/>
  <c r="B48" i="7"/>
  <c r="C48" i="7" s="1"/>
  <c r="B45" i="7"/>
  <c r="C45" i="7" s="1"/>
  <c r="G43" i="7"/>
  <c r="F43" i="7"/>
  <c r="E43" i="7"/>
  <c r="D43" i="7"/>
  <c r="B43" i="7"/>
  <c r="C43" i="7" s="1"/>
  <c r="B40" i="7"/>
  <c r="B41" i="7" s="1"/>
  <c r="G38" i="7"/>
  <c r="F38" i="7"/>
  <c r="E38" i="7"/>
  <c r="D38" i="7"/>
  <c r="B38" i="7"/>
  <c r="C38" i="7" s="1"/>
  <c r="B35" i="7"/>
  <c r="G33" i="7"/>
  <c r="F33" i="7"/>
  <c r="E33" i="7"/>
  <c r="D33" i="7"/>
  <c r="B33" i="7"/>
  <c r="C33" i="7" s="1"/>
  <c r="B30" i="7"/>
  <c r="B31" i="7" s="1"/>
  <c r="G28" i="7"/>
  <c r="F28" i="7"/>
  <c r="E28" i="7"/>
  <c r="D28" i="7"/>
  <c r="B28" i="7"/>
  <c r="C28" i="7" s="1"/>
  <c r="B51" i="5"/>
  <c r="B46" i="5"/>
  <c r="B41" i="5"/>
  <c r="B36" i="5"/>
  <c r="B31" i="5"/>
  <c r="B26" i="5"/>
  <c r="B21" i="5"/>
  <c r="B16" i="5"/>
  <c r="B11" i="5"/>
  <c r="B6" i="5"/>
  <c r="B3" i="6"/>
  <c r="C50" i="5"/>
  <c r="C49" i="5"/>
  <c r="D49" i="5" s="1"/>
  <c r="G48" i="5"/>
  <c r="F48" i="5"/>
  <c r="E48" i="5"/>
  <c r="D48" i="5"/>
  <c r="B48" i="5"/>
  <c r="C48" i="5" s="1"/>
  <c r="C45" i="5"/>
  <c r="C44" i="5"/>
  <c r="D44" i="5" s="1"/>
  <c r="G43" i="5"/>
  <c r="F43" i="5"/>
  <c r="E43" i="5"/>
  <c r="D43" i="5"/>
  <c r="B43" i="5"/>
  <c r="C43" i="5" s="1"/>
  <c r="C40" i="5"/>
  <c r="C39" i="5"/>
  <c r="D39" i="5" s="1"/>
  <c r="G38" i="5"/>
  <c r="F38" i="5"/>
  <c r="E38" i="5"/>
  <c r="D38" i="5"/>
  <c r="B38" i="5"/>
  <c r="C38" i="5" s="1"/>
  <c r="C35" i="5"/>
  <c r="C34" i="5"/>
  <c r="D34" i="5" s="1"/>
  <c r="G33" i="5"/>
  <c r="F33" i="5"/>
  <c r="E33" i="5"/>
  <c r="D33" i="5"/>
  <c r="B33" i="5"/>
  <c r="C33" i="5" s="1"/>
  <c r="C30" i="5"/>
  <c r="C29" i="5"/>
  <c r="D29" i="5" s="1"/>
  <c r="G28" i="5"/>
  <c r="F28" i="5"/>
  <c r="E28" i="5"/>
  <c r="D28" i="5"/>
  <c r="B28" i="5"/>
  <c r="C28" i="5" s="1"/>
  <c r="C24" i="5"/>
  <c r="D24" i="5" s="1"/>
  <c r="E24" i="5" s="1"/>
  <c r="F24" i="5" s="1"/>
  <c r="G24" i="5" s="1"/>
  <c r="C19" i="5"/>
  <c r="D19" i="5" s="1"/>
  <c r="E19" i="5" s="1"/>
  <c r="F19" i="5" s="1"/>
  <c r="G19" i="5" s="1"/>
  <c r="C14" i="5"/>
  <c r="D14" i="5" s="1"/>
  <c r="E14" i="5" s="1"/>
  <c r="F14" i="5" s="1"/>
  <c r="G14" i="5" s="1"/>
  <c r="C9" i="5"/>
  <c r="D9" i="5" s="1"/>
  <c r="E9" i="5" s="1"/>
  <c r="F9" i="5" s="1"/>
  <c r="G9" i="5" s="1"/>
  <c r="C4" i="5"/>
  <c r="B4" i="6" l="1"/>
  <c r="C34" i="7"/>
  <c r="D34" i="7" s="1"/>
  <c r="B51" i="7"/>
  <c r="B46" i="7"/>
  <c r="C49" i="7"/>
  <c r="D49" i="7" s="1"/>
  <c r="D51" i="7" s="1"/>
  <c r="B3" i="8"/>
  <c r="D31" i="7"/>
  <c r="E29" i="7"/>
  <c r="D36" i="7"/>
  <c r="E34" i="7"/>
  <c r="D41" i="7"/>
  <c r="D46" i="7"/>
  <c r="E41" i="7"/>
  <c r="F39" i="7"/>
  <c r="E46" i="7"/>
  <c r="F46" i="7"/>
  <c r="C46" i="7"/>
  <c r="C50" i="7"/>
  <c r="C40" i="7"/>
  <c r="C41" i="7" s="1"/>
  <c r="C35" i="7"/>
  <c r="C36" i="7" s="1"/>
  <c r="C30" i="7"/>
  <c r="C31" i="7" s="1"/>
  <c r="C31" i="5"/>
  <c r="C51" i="5"/>
  <c r="C46" i="5"/>
  <c r="C41" i="5"/>
  <c r="C36" i="5"/>
  <c r="C3" i="6"/>
  <c r="D4" i="5"/>
  <c r="E49" i="5"/>
  <c r="D51" i="5"/>
  <c r="E44" i="5"/>
  <c r="D46" i="5"/>
  <c r="E39" i="5"/>
  <c r="D41" i="5"/>
  <c r="E34" i="5"/>
  <c r="D36" i="5"/>
  <c r="E29" i="5"/>
  <c r="D31" i="5"/>
  <c r="C3" i="8" l="1"/>
  <c r="C51" i="7"/>
  <c r="F29" i="7"/>
  <c r="E31" i="7"/>
  <c r="F34" i="7"/>
  <c r="E36" i="7"/>
  <c r="E49" i="7"/>
  <c r="D3" i="8"/>
  <c r="F41" i="7"/>
  <c r="G39" i="7"/>
  <c r="G41" i="7" s="1"/>
  <c r="D3" i="6"/>
  <c r="E4" i="5"/>
  <c r="F49" i="5"/>
  <c r="E51" i="5"/>
  <c r="F44" i="5"/>
  <c r="E46" i="5"/>
  <c r="F39" i="5"/>
  <c r="E41" i="5"/>
  <c r="F34" i="5"/>
  <c r="E36" i="5"/>
  <c r="F29" i="5"/>
  <c r="E31" i="5"/>
  <c r="B8" i="9"/>
  <c r="B5" i="9"/>
  <c r="A5" i="9"/>
  <c r="C2" i="9"/>
  <c r="D2" i="9" s="1"/>
  <c r="G29" i="7" l="1"/>
  <c r="G31" i="7" s="1"/>
  <c r="F31" i="7"/>
  <c r="G34" i="7"/>
  <c r="G36" i="7" s="1"/>
  <c r="F36" i="7"/>
  <c r="E3" i="8"/>
  <c r="E51" i="7"/>
  <c r="F49" i="7"/>
  <c r="F4" i="5"/>
  <c r="E3" i="6"/>
  <c r="F51" i="5"/>
  <c r="G49" i="5"/>
  <c r="G51" i="5" s="1"/>
  <c r="G44" i="5"/>
  <c r="G46" i="5" s="1"/>
  <c r="F46" i="5"/>
  <c r="G39" i="5"/>
  <c r="G41" i="5" s="1"/>
  <c r="F41" i="5"/>
  <c r="F36" i="5"/>
  <c r="G34" i="5"/>
  <c r="G36" i="5" s="1"/>
  <c r="F31" i="5"/>
  <c r="G29" i="5"/>
  <c r="G31" i="5" s="1"/>
  <c r="C5" i="9"/>
  <c r="D5" i="9" s="1"/>
  <c r="A8" i="9"/>
  <c r="C8" i="9" s="1"/>
  <c r="D8" i="9" s="1"/>
  <c r="F3" i="8" l="1"/>
  <c r="G49" i="7"/>
  <c r="F51" i="7"/>
  <c r="F3" i="6"/>
  <c r="G4" i="5"/>
  <c r="G3" i="6" s="1"/>
  <c r="D11" i="9"/>
  <c r="C1" i="8"/>
  <c r="C1" i="6"/>
  <c r="B25" i="7"/>
  <c r="B26" i="7" s="1"/>
  <c r="B20" i="7"/>
  <c r="B21" i="7" s="1"/>
  <c r="B15" i="7"/>
  <c r="B16" i="7" s="1"/>
  <c r="B10" i="7"/>
  <c r="B11" i="7" s="1"/>
  <c r="B5" i="7"/>
  <c r="B6" i="7" s="1"/>
  <c r="B4" i="8" l="1"/>
  <c r="G51" i="7"/>
  <c r="G3" i="8"/>
  <c r="G1" i="8" l="1"/>
  <c r="F1" i="8"/>
  <c r="E1" i="8"/>
  <c r="D1" i="8"/>
  <c r="B1" i="8"/>
  <c r="D26" i="7"/>
  <c r="C25" i="7"/>
  <c r="G26" i="7"/>
  <c r="F26" i="7"/>
  <c r="E26" i="7"/>
  <c r="G23" i="7"/>
  <c r="F23" i="7"/>
  <c r="E23" i="7"/>
  <c r="D23" i="7"/>
  <c r="B23" i="7"/>
  <c r="C23" i="7" s="1"/>
  <c r="C20" i="7"/>
  <c r="G21" i="7"/>
  <c r="F21" i="7"/>
  <c r="E21" i="7"/>
  <c r="D21" i="7"/>
  <c r="G18" i="7"/>
  <c r="F18" i="7"/>
  <c r="E18" i="7"/>
  <c r="D18" i="7"/>
  <c r="B18" i="7"/>
  <c r="C18" i="7" s="1"/>
  <c r="C15" i="7"/>
  <c r="G16" i="7"/>
  <c r="F16" i="7"/>
  <c r="E16" i="7"/>
  <c r="D16" i="7"/>
  <c r="G13" i="7"/>
  <c r="F13" i="7"/>
  <c r="E13" i="7"/>
  <c r="D13" i="7"/>
  <c r="B13" i="7"/>
  <c r="C13" i="7" s="1"/>
  <c r="C10" i="7"/>
  <c r="C11" i="7" s="1"/>
  <c r="G11" i="7"/>
  <c r="F11" i="7"/>
  <c r="E11" i="7"/>
  <c r="D11" i="7"/>
  <c r="G8" i="7"/>
  <c r="F8" i="7"/>
  <c r="E8" i="7"/>
  <c r="D8" i="7"/>
  <c r="B8" i="7"/>
  <c r="C8" i="7" s="1"/>
  <c r="C5" i="7"/>
  <c r="G6" i="7"/>
  <c r="F6" i="7"/>
  <c r="E6" i="7"/>
  <c r="D6" i="7"/>
  <c r="G3" i="7"/>
  <c r="F3" i="7"/>
  <c r="E3" i="7"/>
  <c r="D3" i="7"/>
  <c r="B3" i="7"/>
  <c r="C3" i="7" s="1"/>
  <c r="G1" i="7"/>
  <c r="F1" i="7"/>
  <c r="E1" i="7"/>
  <c r="D1" i="7"/>
  <c r="B1" i="7"/>
  <c r="G4" i="8" l="1"/>
  <c r="G5" i="8" s="1"/>
  <c r="D4" i="8"/>
  <c r="E4" i="8"/>
  <c r="F4" i="8"/>
  <c r="C21" i="7"/>
  <c r="C16" i="7"/>
  <c r="D5" i="8"/>
  <c r="C26" i="7"/>
  <c r="E5" i="8"/>
  <c r="F5" i="8"/>
  <c r="C6" i="7"/>
  <c r="C4" i="8" s="1"/>
  <c r="D3" i="5"/>
  <c r="G3" i="5" l="1"/>
  <c r="F3" i="5"/>
  <c r="E3" i="5"/>
  <c r="B3" i="5"/>
  <c r="C3" i="5" s="1"/>
  <c r="G1" i="6"/>
  <c r="F1" i="6"/>
  <c r="E1" i="6"/>
  <c r="D1" i="6"/>
  <c r="B1" i="6"/>
  <c r="C25" i="5"/>
  <c r="C26" i="5" s="1"/>
  <c r="G26" i="5"/>
  <c r="F26" i="5"/>
  <c r="E26" i="5"/>
  <c r="D26" i="5"/>
  <c r="G23" i="5"/>
  <c r="F23" i="5"/>
  <c r="E23" i="5"/>
  <c r="D23" i="5"/>
  <c r="B23" i="5"/>
  <c r="C23" i="5" s="1"/>
  <c r="C20" i="5"/>
  <c r="C21" i="5" s="1"/>
  <c r="G21" i="5"/>
  <c r="F21" i="5"/>
  <c r="E21" i="5"/>
  <c r="D21" i="5"/>
  <c r="G18" i="5"/>
  <c r="F18" i="5"/>
  <c r="E18" i="5"/>
  <c r="D18" i="5"/>
  <c r="B18" i="5"/>
  <c r="C18" i="5" s="1"/>
  <c r="C15" i="5"/>
  <c r="C16" i="5" s="1"/>
  <c r="G16" i="5"/>
  <c r="F16" i="5"/>
  <c r="E16" i="5"/>
  <c r="D16" i="5"/>
  <c r="G13" i="5"/>
  <c r="F13" i="5"/>
  <c r="E13" i="5"/>
  <c r="D13" i="5"/>
  <c r="B13" i="5"/>
  <c r="C13" i="5" s="1"/>
  <c r="C10" i="5"/>
  <c r="G11" i="5"/>
  <c r="F11" i="5"/>
  <c r="E11" i="5"/>
  <c r="D11" i="5"/>
  <c r="G8" i="5"/>
  <c r="F8" i="5"/>
  <c r="E8" i="5"/>
  <c r="D8" i="5"/>
  <c r="B8" i="5"/>
  <c r="C8" i="5" s="1"/>
  <c r="C5" i="5"/>
  <c r="C6" i="5" s="1"/>
  <c r="G6" i="5"/>
  <c r="E6" i="5"/>
  <c r="D6" i="5"/>
  <c r="G1" i="5"/>
  <c r="F1" i="5"/>
  <c r="E1" i="5"/>
  <c r="D1" i="5"/>
  <c r="B1" i="5"/>
  <c r="C4" i="6" l="1"/>
  <c r="E4" i="6"/>
  <c r="D4" i="6"/>
  <c r="G4" i="6"/>
  <c r="G5" i="6" s="1"/>
  <c r="E5" i="6"/>
  <c r="C11" i="5"/>
  <c r="B5" i="6"/>
  <c r="B5" i="8"/>
  <c r="D5" i="6"/>
  <c r="F6" i="5"/>
  <c r="F4" i="6" s="1"/>
  <c r="B2" i="2"/>
  <c r="L8" i="1"/>
  <c r="K8" i="1"/>
  <c r="B8" i="1"/>
  <c r="C3" i="1" s="1"/>
  <c r="D6" i="6" l="1"/>
  <c r="C7" i="1"/>
  <c r="C4" i="1"/>
  <c r="C5" i="6"/>
  <c r="G8" i="6" s="1"/>
  <c r="C6" i="8"/>
  <c r="F6" i="8"/>
  <c r="C5" i="8"/>
  <c r="E6" i="8"/>
  <c r="G6" i="8"/>
  <c r="D6" i="8"/>
  <c r="G6" i="6"/>
  <c r="C6" i="6"/>
  <c r="E6" i="6"/>
  <c r="F5" i="6"/>
  <c r="F6" i="6"/>
  <c r="C2" i="1"/>
  <c r="C5" i="1"/>
  <c r="C6" i="1"/>
  <c r="E7" i="6" l="1"/>
  <c r="E8" i="6"/>
  <c r="C7" i="6"/>
  <c r="C8" i="6"/>
  <c r="D8" i="6"/>
  <c r="G7" i="6"/>
  <c r="D7" i="6"/>
  <c r="C8" i="8"/>
  <c r="F8" i="8"/>
  <c r="C7" i="8"/>
  <c r="G8" i="8"/>
  <c r="F7" i="8"/>
  <c r="G7" i="8"/>
  <c r="E8" i="8"/>
  <c r="D7" i="8"/>
  <c r="D8" i="8"/>
  <c r="E7" i="8"/>
  <c r="C8" i="1"/>
  <c r="F8" i="6"/>
  <c r="F7" i="6"/>
</calcChain>
</file>

<file path=xl/sharedStrings.xml><?xml version="1.0" encoding="utf-8"?>
<sst xmlns="http://schemas.openxmlformats.org/spreadsheetml/2006/main" count="295" uniqueCount="68">
  <si>
    <t>Plano Atual</t>
  </si>
  <si>
    <t>Nº Vidas</t>
  </si>
  <si>
    <t>%</t>
  </si>
  <si>
    <t>Total</t>
  </si>
  <si>
    <t>Valor Atual</t>
  </si>
  <si>
    <t>MEDICUS</t>
  </si>
  <si>
    <t>OPÇÕES</t>
  </si>
  <si>
    <t>QUALITY</t>
  </si>
  <si>
    <t>QUALITY 3</t>
  </si>
  <si>
    <t>População Total</t>
  </si>
  <si>
    <t>Funcionários</t>
  </si>
  <si>
    <t>Dependentes</t>
  </si>
  <si>
    <t>Feminino</t>
  </si>
  <si>
    <t>Masculino</t>
  </si>
  <si>
    <t>00 - 18</t>
  </si>
  <si>
    <t>19 - 23</t>
  </si>
  <si>
    <t>24 - 28</t>
  </si>
  <si>
    <t>29 - 33</t>
  </si>
  <si>
    <t>34 - 38</t>
  </si>
  <si>
    <t>39 - 43</t>
  </si>
  <si>
    <t>44 - 48</t>
  </si>
  <si>
    <t>49 - 53</t>
  </si>
  <si>
    <t>54 - 58</t>
  </si>
  <si>
    <t>59+</t>
  </si>
  <si>
    <t>FUNCIONÁRIOS</t>
  </si>
  <si>
    <t>DEPENDENTES</t>
  </si>
  <si>
    <t>Player I</t>
  </si>
  <si>
    <t>Player II</t>
  </si>
  <si>
    <t>Player III</t>
  </si>
  <si>
    <t>Player IV</t>
  </si>
  <si>
    <t>a</t>
  </si>
  <si>
    <t>r</t>
  </si>
  <si>
    <t>Produto</t>
  </si>
  <si>
    <t>Enfermaria</t>
  </si>
  <si>
    <t>Abrangência Nacional</t>
  </si>
  <si>
    <t xml:space="preserve">R$ </t>
  </si>
  <si>
    <t>Apartamento</t>
  </si>
  <si>
    <t>Reajuste 20%</t>
  </si>
  <si>
    <t>Número de Vidas</t>
  </si>
  <si>
    <t>Custo Médio</t>
  </si>
  <si>
    <t>Total de Vidas</t>
  </si>
  <si>
    <t>Total da Fatura (Mensal)</t>
  </si>
  <si>
    <t>Total da Fatura (Anual)</t>
  </si>
  <si>
    <t>Impacto Financeiro (Mensal)</t>
  </si>
  <si>
    <t>Impacto Financeiro (Anual)</t>
  </si>
  <si>
    <t>Impacto Financeiro ( em %)</t>
  </si>
  <si>
    <t>Amil</t>
  </si>
  <si>
    <t>Elegibilidade</t>
  </si>
  <si>
    <t>VALOR ATUAL</t>
  </si>
  <si>
    <t>VALOR OFERTADO</t>
  </si>
  <si>
    <t>REDUÇÃO MENSAL</t>
  </si>
  <si>
    <t>ECONOMIA BIENAL</t>
  </si>
  <si>
    <t>ECONOMIA ANUAL</t>
  </si>
  <si>
    <r>
      <t xml:space="preserve">PRÓ-RATA </t>
    </r>
    <r>
      <rPr>
        <b/>
        <sz val="8"/>
        <color theme="1"/>
        <rFont val="Gill Sans MT"/>
        <family val="2"/>
      </rPr>
      <t>(X MESES ATE O ANIVERSAIO DA APOLICE)</t>
    </r>
  </si>
  <si>
    <t>ECONOMIA BIÊNIO</t>
  </si>
  <si>
    <t>ECONOMIA 1° ANO</t>
  </si>
  <si>
    <t>ECONOMIA 2° ANO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</si>
  <si>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</si>
  <si>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</si>
  <si>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</si>
  <si>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</si>
  <si>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</si>
  <si>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</si>
  <si>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</si>
  <si>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</si>
  <si>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</si>
  <si>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</si>
  <si>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 xml:space="preserve">Reembolso - Consulta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</si>
</sst>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&quot;R$ &quot;* #,##0.00_);_(&quot;R$ &quot;* \(#,##0.00\);_(&quot;R$ &quot;* &quot;-&quot;??_);_(@_)"/>
    <numFmt numFmtId="166" formatCode="&quot;R$ &quot;#,##0.00"/>
    <numFmt numFmtId="167" formatCode="&quot;R$&quot;#,##0.00"/>
    <numFmt numFmtId="168" formatCode="&quot;R$&quot;#,##0"/>
    <numFmt numFmtId="169" formatCode="&quot;R$&quot;\ #,##0.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2" tint="-0.499984740745262"/>
      <name val="Calibri Light"/>
      <family val="2"/>
      <scheme val="major"/>
    </font>
    <font>
      <sz val="9"/>
      <color theme="2" tint="-0.74999237037263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color rgb="FF006100"/>
      <name val="Calibri"/>
      <family val="2"/>
    </font>
    <font>
      <b/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A7D00"/>
      <name val="Calibri"/>
      <family val="2"/>
    </font>
    <font>
      <sz val="10"/>
      <color rgb="FF3F3F76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indexed="8"/>
      <name val="Calibri"/>
      <family val="2"/>
    </font>
    <font>
      <b/>
      <sz val="10"/>
      <color rgb="FF3F3F3F"/>
      <name val="Calibri"/>
      <family val="2"/>
    </font>
    <font>
      <b/>
      <sz val="10"/>
      <name val="Arial"/>
      <family val="2"/>
    </font>
    <font>
      <b/>
      <sz val="10"/>
      <color indexed="39"/>
      <name val="Arial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 Light"/>
      <family val="2"/>
      <scheme val="major"/>
    </font>
    <font>
      <b/>
      <sz val="9"/>
      <color rgb="FFFFFFFF"/>
      <name val="Calibri Light"/>
      <family val="2"/>
      <scheme val="major"/>
    </font>
    <font>
      <sz val="13"/>
      <color theme="1"/>
      <name val="Gill Sans MT"/>
      <family val="2"/>
    </font>
    <font>
      <sz val="13"/>
      <color theme="0"/>
      <name val="Gill Sans MT"/>
      <family val="2"/>
    </font>
    <font>
      <sz val="16"/>
      <color theme="1"/>
      <name val="Gill Sans MT"/>
      <family val="2"/>
    </font>
    <font>
      <sz val="16"/>
      <color theme="2" tint="-0.499984740745262"/>
      <name val="Gill Sans MT"/>
      <family val="2"/>
    </font>
    <font>
      <sz val="16"/>
      <color theme="1"/>
      <name val="Century Gothic"/>
      <family val="2"/>
    </font>
    <font>
      <sz val="16"/>
      <color theme="2" tint="-0.499984740745262"/>
      <name val="Century Gothic"/>
      <family val="2"/>
    </font>
    <font>
      <b/>
      <sz val="16"/>
      <color rgb="FFFF0000"/>
      <name val="Century Gothic"/>
      <family val="2"/>
    </font>
    <font>
      <b/>
      <sz val="16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Gill Sans MT"/>
      <family val="2"/>
    </font>
    <font>
      <b/>
      <sz val="11"/>
      <color rgb="FF00B050"/>
      <name val="Century Gothic"/>
      <family val="2"/>
    </font>
    <font>
      <b/>
      <sz val="8"/>
      <color theme="1"/>
      <name val="Gill Sans MT"/>
      <family val="2"/>
    </font>
    <font>
      <sz val="13"/>
      <color theme="1"/>
      <name val="Aptos"/>
      <family val="2"/>
    </font>
    <font>
      <sz val="18"/>
      <color theme="0"/>
      <name val="Aptos"/>
      <family val="2"/>
    </font>
    <font>
      <b/>
      <u/>
      <sz val="18"/>
      <color theme="1"/>
      <name val="Aptos"/>
      <family val="2"/>
    </font>
    <font>
      <sz val="18"/>
      <color theme="1"/>
      <name val="Aptos"/>
      <family val="2"/>
    </font>
    <font>
      <sz val="18"/>
      <color rgb="FF00B050"/>
      <name val="Webdings"/>
      <family val="1"/>
      <charset val="2"/>
    </font>
  </fonts>
  <fills count="36">
    <fill>
      <patternFill patternType="none"/>
    </fill>
    <fill>
      <patternFill patternType="gray125"/>
    </fill>
    <fill>
      <patternFill patternType="solid">
        <fgColor rgb="FFFFFFC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</fills>
  <borders count="37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249977111117893"/>
      </bottom>
      <diagonal/>
    </border>
    <border>
      <left/>
      <right/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/>
      <bottom/>
      <diagonal/>
    </border>
    <border>
      <left style="medium">
        <color theme="1" tint="0.499984740745262"/>
      </left>
      <right style="thin">
        <color theme="0" tint="-0.14999847407452621"/>
      </right>
      <top style="medium">
        <color theme="1" tint="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0.499984740745262"/>
      </right>
      <top style="medium">
        <color theme="1" tint="0.499984740745262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medium">
        <color theme="1" tint="0.499984740745262"/>
      </bottom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5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7" borderId="21" applyNumberFormat="0" applyAlignment="0" applyProtection="0"/>
    <xf numFmtId="0" fontId="10" fillId="7" borderId="21" applyNumberFormat="0" applyAlignment="0" applyProtection="0"/>
    <xf numFmtId="0" fontId="11" fillId="8" borderId="24" applyNumberFormat="0" applyAlignment="0" applyProtection="0"/>
    <xf numFmtId="0" fontId="11" fillId="8" borderId="24" applyNumberFormat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13" fillId="6" borderId="21" applyNumberFormat="0" applyAlignment="0" applyProtection="0"/>
    <xf numFmtId="0" fontId="13" fillId="6" borderId="21" applyNumberFormat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9" borderId="25" applyNumberFormat="0" applyFont="0" applyAlignment="0" applyProtection="0"/>
    <xf numFmtId="0" fontId="16" fillId="9" borderId="25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7" fillId="7" borderId="22" applyNumberFormat="0" applyAlignment="0" applyProtection="0"/>
    <xf numFmtId="0" fontId="17" fillId="7" borderId="22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Protection="0">
      <alignment horizontal="center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6" applyNumberFormat="0" applyFill="0" applyAlignment="0" applyProtection="0"/>
    <xf numFmtId="0" fontId="25" fillId="0" borderId="26" applyNumberFormat="0" applyFill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9" fontId="2" fillId="2" borderId="9" xfId="0" applyNumberFormat="1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164" fontId="2" fillId="2" borderId="15" xfId="0" applyNumberFormat="1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7" fillId="34" borderId="27" xfId="0" applyFont="1" applyFill="1" applyBorder="1" applyAlignment="1">
      <alignment horizontal="center" vertical="center" wrapText="1" readingOrder="1"/>
    </xf>
    <xf numFmtId="0" fontId="27" fillId="34" borderId="28" xfId="0" applyFont="1" applyFill="1" applyBorder="1" applyAlignment="1">
      <alignment horizontal="center" vertical="center" wrapText="1" readingOrder="1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31" fillId="2" borderId="0" xfId="0" applyFont="1" applyFill="1" applyAlignment="1">
      <alignment horizontal="left" vertical="center" readingOrder="1"/>
    </xf>
    <xf numFmtId="0" fontId="31" fillId="2" borderId="0" xfId="0" applyFont="1" applyFill="1" applyAlignment="1">
      <alignment horizontal="left" vertical="center" wrapText="1" readingOrder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9" fontId="4" fillId="0" borderId="6" xfId="1" quotePrefix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3" fillId="0" borderId="13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26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1" fontId="32" fillId="0" borderId="0" xfId="0" applyNumberFormat="1" applyFont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 readingOrder="1"/>
    </xf>
    <xf numFmtId="168" fontId="34" fillId="0" borderId="0" xfId="0" applyNumberFormat="1" applyFont="1" applyAlignment="1">
      <alignment horizontal="center" vertical="center"/>
    </xf>
    <xf numFmtId="168" fontId="35" fillId="0" borderId="0" xfId="0" applyNumberFormat="1" applyFont="1" applyAlignment="1">
      <alignment horizontal="center" vertical="center"/>
    </xf>
    <xf numFmtId="9" fontId="3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9" fontId="36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169" fontId="38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left" vertical="center"/>
    </xf>
    <xf numFmtId="9" fontId="34" fillId="0" borderId="0" xfId="0" applyNumberFormat="1" applyFont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center" vertical="center"/>
    </xf>
    <xf numFmtId="0" fontId="41" fillId="35" borderId="0" xfId="0" applyFont="1" applyFill="1"/>
    <xf numFmtId="0" fontId="42" fillId="0" borderId="0" xfId="0" applyFont="1" applyAlignment="1">
      <alignment horizontal="center" vertical="center"/>
    </xf>
    <xf numFmtId="167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/>
    <xf numFmtId="1" fontId="43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054">
    <cellStyle name="20% - Ênfase1 2 2" xfId="7" xr:uid="{00000000-0005-0000-0000-000000000000}"/>
    <cellStyle name="20% - Ênfase1 3 2" xfId="8" xr:uid="{00000000-0005-0000-0000-000001000000}"/>
    <cellStyle name="20% - Ênfase2 2 2" xfId="9" xr:uid="{00000000-0005-0000-0000-000002000000}"/>
    <cellStyle name="20% - Ênfase2 3 2" xfId="10" xr:uid="{00000000-0005-0000-0000-000003000000}"/>
    <cellStyle name="20% - Ênfase3 2 2" xfId="11" xr:uid="{00000000-0005-0000-0000-000004000000}"/>
    <cellStyle name="20% - Ênfase3 3 2" xfId="12" xr:uid="{00000000-0005-0000-0000-000005000000}"/>
    <cellStyle name="20% - Ênfase4 2 2" xfId="13" xr:uid="{00000000-0005-0000-0000-000006000000}"/>
    <cellStyle name="20% - Ênfase4 3 2" xfId="14" xr:uid="{00000000-0005-0000-0000-000007000000}"/>
    <cellStyle name="20% - Ênfase5 2 2" xfId="15" xr:uid="{00000000-0005-0000-0000-000008000000}"/>
    <cellStyle name="20% - Ênfase5 3 2" xfId="16" xr:uid="{00000000-0005-0000-0000-000009000000}"/>
    <cellStyle name="20% - Ênfase6 2 2" xfId="17" xr:uid="{00000000-0005-0000-0000-00000A000000}"/>
    <cellStyle name="20% - Ênfase6 3 2" xfId="18" xr:uid="{00000000-0005-0000-0000-00000B000000}"/>
    <cellStyle name="40% - Ênfase1 2 2" xfId="19" xr:uid="{00000000-0005-0000-0000-00000C000000}"/>
    <cellStyle name="40% - Ênfase1 3 2" xfId="20" xr:uid="{00000000-0005-0000-0000-00000D000000}"/>
    <cellStyle name="40% - Ênfase2 2 2" xfId="21" xr:uid="{00000000-0005-0000-0000-00000E000000}"/>
    <cellStyle name="40% - Ênfase2 3 2" xfId="22" xr:uid="{00000000-0005-0000-0000-00000F000000}"/>
    <cellStyle name="40% - Ênfase3 2 2" xfId="23" xr:uid="{00000000-0005-0000-0000-000010000000}"/>
    <cellStyle name="40% - Ênfase3 3 2" xfId="24" xr:uid="{00000000-0005-0000-0000-000011000000}"/>
    <cellStyle name="40% - Ênfase4 2 2" xfId="25" xr:uid="{00000000-0005-0000-0000-000012000000}"/>
    <cellStyle name="40% - Ênfase4 3 2" xfId="26" xr:uid="{00000000-0005-0000-0000-000013000000}"/>
    <cellStyle name="40% - Ênfase5 2 2" xfId="27" xr:uid="{00000000-0005-0000-0000-000014000000}"/>
    <cellStyle name="40% - Ênfase5 3 2" xfId="28" xr:uid="{00000000-0005-0000-0000-000015000000}"/>
    <cellStyle name="40% - Ênfase6 2 2" xfId="29" xr:uid="{00000000-0005-0000-0000-000016000000}"/>
    <cellStyle name="40% - Ênfase6 3 2" xfId="30" xr:uid="{00000000-0005-0000-0000-000017000000}"/>
    <cellStyle name="60% - Ênfase1 2 2" xfId="31" xr:uid="{00000000-0005-0000-0000-000018000000}"/>
    <cellStyle name="60% - Ênfase1 3 2" xfId="32" xr:uid="{00000000-0005-0000-0000-000019000000}"/>
    <cellStyle name="60% - Ênfase2 2 2" xfId="33" xr:uid="{00000000-0005-0000-0000-00001A000000}"/>
    <cellStyle name="60% - Ênfase2 3 2" xfId="34" xr:uid="{00000000-0005-0000-0000-00001B000000}"/>
    <cellStyle name="60% - Ênfase3 2 2" xfId="35" xr:uid="{00000000-0005-0000-0000-00001C000000}"/>
    <cellStyle name="60% - Ênfase3 3 2" xfId="36" xr:uid="{00000000-0005-0000-0000-00001D000000}"/>
    <cellStyle name="60% - Ênfase4 2 2" xfId="37" xr:uid="{00000000-0005-0000-0000-00001E000000}"/>
    <cellStyle name="60% - Ênfase4 3 2" xfId="38" xr:uid="{00000000-0005-0000-0000-00001F000000}"/>
    <cellStyle name="60% - Ênfase5 2 2" xfId="39" xr:uid="{00000000-0005-0000-0000-000020000000}"/>
    <cellStyle name="60% - Ênfase5 3 2" xfId="40" xr:uid="{00000000-0005-0000-0000-000021000000}"/>
    <cellStyle name="60% - Ênfase6 2 2" xfId="41" xr:uid="{00000000-0005-0000-0000-000022000000}"/>
    <cellStyle name="60% - Ênfase6 3 2" xfId="42" xr:uid="{00000000-0005-0000-0000-000023000000}"/>
    <cellStyle name="Bom 2 2" xfId="43" xr:uid="{00000000-0005-0000-0000-000024000000}"/>
    <cellStyle name="Bom 3 2" xfId="44" xr:uid="{00000000-0005-0000-0000-000025000000}"/>
    <cellStyle name="Cálculo 2 2" xfId="45" xr:uid="{00000000-0005-0000-0000-000026000000}"/>
    <cellStyle name="Cálculo 3 2" xfId="46" xr:uid="{00000000-0005-0000-0000-000027000000}"/>
    <cellStyle name="Célula de Verificação 2 2" xfId="47" xr:uid="{00000000-0005-0000-0000-000028000000}"/>
    <cellStyle name="Célula de Verificação 3 2" xfId="48" xr:uid="{00000000-0005-0000-0000-000029000000}"/>
    <cellStyle name="Célula Vinculada 2 2" xfId="49" xr:uid="{00000000-0005-0000-0000-00002A000000}"/>
    <cellStyle name="Célula Vinculada 3 2" xfId="50" xr:uid="{00000000-0005-0000-0000-00002B000000}"/>
    <cellStyle name="Ênfase1 2 2" xfId="51" xr:uid="{00000000-0005-0000-0000-00002C000000}"/>
    <cellStyle name="Ênfase1 3 2" xfId="52" xr:uid="{00000000-0005-0000-0000-00002D000000}"/>
    <cellStyle name="Ênfase2 2 2" xfId="53" xr:uid="{00000000-0005-0000-0000-00002E000000}"/>
    <cellStyle name="Ênfase2 3 2" xfId="54" xr:uid="{00000000-0005-0000-0000-00002F000000}"/>
    <cellStyle name="Ênfase3 2 2" xfId="55" xr:uid="{00000000-0005-0000-0000-000030000000}"/>
    <cellStyle name="Ênfase3 3 2" xfId="56" xr:uid="{00000000-0005-0000-0000-000031000000}"/>
    <cellStyle name="Ênfase4 2 2" xfId="57" xr:uid="{00000000-0005-0000-0000-000032000000}"/>
    <cellStyle name="Ênfase4 3 2" xfId="58" xr:uid="{00000000-0005-0000-0000-000033000000}"/>
    <cellStyle name="Ênfase5 2 2" xfId="59" xr:uid="{00000000-0005-0000-0000-000034000000}"/>
    <cellStyle name="Ênfase5 3 2" xfId="60" xr:uid="{00000000-0005-0000-0000-000035000000}"/>
    <cellStyle name="Ênfase6 2 2" xfId="61" xr:uid="{00000000-0005-0000-0000-000036000000}"/>
    <cellStyle name="Ênfase6 3 2" xfId="62" xr:uid="{00000000-0005-0000-0000-000037000000}"/>
    <cellStyle name="Entrada 2 2" xfId="63" xr:uid="{00000000-0005-0000-0000-000038000000}"/>
    <cellStyle name="Entrada 3 2" xfId="64" xr:uid="{00000000-0005-0000-0000-000039000000}"/>
    <cellStyle name="Incorreto 2 2" xfId="65" xr:uid="{00000000-0005-0000-0000-00003A000000}"/>
    <cellStyle name="Incorreto 3 2" xfId="66" xr:uid="{00000000-0005-0000-0000-00003B000000}"/>
    <cellStyle name="Moeda 10" xfId="67" xr:uid="{00000000-0005-0000-0000-00003C000000}"/>
    <cellStyle name="Moeda 11" xfId="1053" xr:uid="{00000000-0005-0000-0000-00003D000000}"/>
    <cellStyle name="Moeda 2" xfId="68" xr:uid="{00000000-0005-0000-0000-00003E000000}"/>
    <cellStyle name="Moeda 2 10" xfId="69" xr:uid="{00000000-0005-0000-0000-00003F000000}"/>
    <cellStyle name="Moeda 2 2" xfId="70" xr:uid="{00000000-0005-0000-0000-000040000000}"/>
    <cellStyle name="Moeda 2 3" xfId="71" xr:uid="{00000000-0005-0000-0000-000041000000}"/>
    <cellStyle name="Moeda 2 4" xfId="72" xr:uid="{00000000-0005-0000-0000-000042000000}"/>
    <cellStyle name="Moeda 2 5" xfId="73" xr:uid="{00000000-0005-0000-0000-000043000000}"/>
    <cellStyle name="Moeda 2 6" xfId="74" xr:uid="{00000000-0005-0000-0000-000044000000}"/>
    <cellStyle name="Moeda 2 7" xfId="75" xr:uid="{00000000-0005-0000-0000-000045000000}"/>
    <cellStyle name="Moeda 2 7 2" xfId="76" xr:uid="{00000000-0005-0000-0000-000046000000}"/>
    <cellStyle name="Moeda 2 7 3" xfId="77" xr:uid="{00000000-0005-0000-0000-000047000000}"/>
    <cellStyle name="Moeda 2 8" xfId="78" xr:uid="{00000000-0005-0000-0000-000048000000}"/>
    <cellStyle name="Moeda 2 9" xfId="79" xr:uid="{00000000-0005-0000-0000-000049000000}"/>
    <cellStyle name="Moeda 3" xfId="80" xr:uid="{00000000-0005-0000-0000-00004A000000}"/>
    <cellStyle name="Moeda 3 2" xfId="81" xr:uid="{00000000-0005-0000-0000-00004B000000}"/>
    <cellStyle name="Moeda 3 3" xfId="82" xr:uid="{00000000-0005-0000-0000-00004C000000}"/>
    <cellStyle name="Moeda 3 4" xfId="83" xr:uid="{00000000-0005-0000-0000-00004D000000}"/>
    <cellStyle name="Moeda 3 5" xfId="84" xr:uid="{00000000-0005-0000-0000-00004E000000}"/>
    <cellStyle name="Moeda 3 6" xfId="85" xr:uid="{00000000-0005-0000-0000-00004F000000}"/>
    <cellStyle name="Moeda 3 7" xfId="86" xr:uid="{00000000-0005-0000-0000-000050000000}"/>
    <cellStyle name="Moeda 4" xfId="87" xr:uid="{00000000-0005-0000-0000-000051000000}"/>
    <cellStyle name="Moeda 5" xfId="88" xr:uid="{00000000-0005-0000-0000-000052000000}"/>
    <cellStyle name="Moeda 6" xfId="89" xr:uid="{00000000-0005-0000-0000-000053000000}"/>
    <cellStyle name="Moeda 7" xfId="90" xr:uid="{00000000-0005-0000-0000-000054000000}"/>
    <cellStyle name="Moeda 7 2" xfId="91" xr:uid="{00000000-0005-0000-0000-000055000000}"/>
    <cellStyle name="Moeda 7 3" xfId="92" xr:uid="{00000000-0005-0000-0000-000056000000}"/>
    <cellStyle name="Moeda 8" xfId="93" xr:uid="{00000000-0005-0000-0000-000057000000}"/>
    <cellStyle name="Moeda 9" xfId="94" xr:uid="{00000000-0005-0000-0000-000058000000}"/>
    <cellStyle name="Moeda 9 2" xfId="95" xr:uid="{00000000-0005-0000-0000-000059000000}"/>
    <cellStyle name="Neutra 2 2" xfId="96" xr:uid="{00000000-0005-0000-0000-00005A000000}"/>
    <cellStyle name="Neutra 3 2" xfId="97" xr:uid="{00000000-0005-0000-0000-00005B000000}"/>
    <cellStyle name="Normal" xfId="0" builtinId="0"/>
    <cellStyle name="Normal 10 2" xfId="98" xr:uid="{00000000-0005-0000-0000-00005D000000}"/>
    <cellStyle name="Normal 10 3" xfId="99" xr:uid="{00000000-0005-0000-0000-00005E000000}"/>
    <cellStyle name="Normal 10 4" xfId="100" xr:uid="{00000000-0005-0000-0000-00005F000000}"/>
    <cellStyle name="Normal 10 5" xfId="101" xr:uid="{00000000-0005-0000-0000-000060000000}"/>
    <cellStyle name="Normal 10 6" xfId="102" xr:uid="{00000000-0005-0000-0000-000061000000}"/>
    <cellStyle name="Normal 10 7" xfId="103" xr:uid="{00000000-0005-0000-0000-000062000000}"/>
    <cellStyle name="Normal 14 10" xfId="3" xr:uid="{00000000-0005-0000-0000-000063000000}"/>
    <cellStyle name="Normal 14 11" xfId="104" xr:uid="{00000000-0005-0000-0000-000064000000}"/>
    <cellStyle name="Normal 14 12" xfId="105" xr:uid="{00000000-0005-0000-0000-000065000000}"/>
    <cellStyle name="Normal 14 13" xfId="106" xr:uid="{00000000-0005-0000-0000-000066000000}"/>
    <cellStyle name="Normal 14 14" xfId="107" xr:uid="{00000000-0005-0000-0000-000067000000}"/>
    <cellStyle name="Normal 14 15" xfId="108" xr:uid="{00000000-0005-0000-0000-000068000000}"/>
    <cellStyle name="Normal 14 16" xfId="109" xr:uid="{00000000-0005-0000-0000-000069000000}"/>
    <cellStyle name="Normal 14 17" xfId="110" xr:uid="{00000000-0005-0000-0000-00006A000000}"/>
    <cellStyle name="Normal 14 18" xfId="111" xr:uid="{00000000-0005-0000-0000-00006B000000}"/>
    <cellStyle name="Normal 14 19" xfId="112" xr:uid="{00000000-0005-0000-0000-00006C000000}"/>
    <cellStyle name="Normal 14 2" xfId="113" xr:uid="{00000000-0005-0000-0000-00006D000000}"/>
    <cellStyle name="Normal 14 20" xfId="114" xr:uid="{00000000-0005-0000-0000-00006E000000}"/>
    <cellStyle name="Normal 14 21" xfId="115" xr:uid="{00000000-0005-0000-0000-00006F000000}"/>
    <cellStyle name="Normal 14 22" xfId="116" xr:uid="{00000000-0005-0000-0000-000070000000}"/>
    <cellStyle name="Normal 14 23" xfId="117" xr:uid="{00000000-0005-0000-0000-000071000000}"/>
    <cellStyle name="Normal 14 24" xfId="118" xr:uid="{00000000-0005-0000-0000-000072000000}"/>
    <cellStyle name="Normal 14 25" xfId="119" xr:uid="{00000000-0005-0000-0000-000073000000}"/>
    <cellStyle name="Normal 14 26" xfId="120" xr:uid="{00000000-0005-0000-0000-000074000000}"/>
    <cellStyle name="Normal 14 27" xfId="121" xr:uid="{00000000-0005-0000-0000-000075000000}"/>
    <cellStyle name="Normal 14 28" xfId="122" xr:uid="{00000000-0005-0000-0000-000076000000}"/>
    <cellStyle name="Normal 14 29" xfId="123" xr:uid="{00000000-0005-0000-0000-000077000000}"/>
    <cellStyle name="Normal 14 3" xfId="124" xr:uid="{00000000-0005-0000-0000-000078000000}"/>
    <cellStyle name="Normal 14 30" xfId="125" xr:uid="{00000000-0005-0000-0000-000079000000}"/>
    <cellStyle name="Normal 14 31" xfId="126" xr:uid="{00000000-0005-0000-0000-00007A000000}"/>
    <cellStyle name="Normal 14 32" xfId="127" xr:uid="{00000000-0005-0000-0000-00007B000000}"/>
    <cellStyle name="Normal 14 33" xfId="128" xr:uid="{00000000-0005-0000-0000-00007C000000}"/>
    <cellStyle name="Normal 14 34" xfId="129" xr:uid="{00000000-0005-0000-0000-00007D000000}"/>
    <cellStyle name="Normal 14 35" xfId="130" xr:uid="{00000000-0005-0000-0000-00007E000000}"/>
    <cellStyle name="Normal 14 36" xfId="131" xr:uid="{00000000-0005-0000-0000-00007F000000}"/>
    <cellStyle name="Normal 14 37" xfId="132" xr:uid="{00000000-0005-0000-0000-000080000000}"/>
    <cellStyle name="Normal 14 38" xfId="133" xr:uid="{00000000-0005-0000-0000-000081000000}"/>
    <cellStyle name="Normal 14 39" xfId="134" xr:uid="{00000000-0005-0000-0000-000082000000}"/>
    <cellStyle name="Normal 14 4" xfId="135" xr:uid="{00000000-0005-0000-0000-000083000000}"/>
    <cellStyle name="Normal 14 40" xfId="136" xr:uid="{00000000-0005-0000-0000-000084000000}"/>
    <cellStyle name="Normal 14 41" xfId="137" xr:uid="{00000000-0005-0000-0000-000085000000}"/>
    <cellStyle name="Normal 14 42" xfId="138" xr:uid="{00000000-0005-0000-0000-000086000000}"/>
    <cellStyle name="Normal 14 43" xfId="139" xr:uid="{00000000-0005-0000-0000-000087000000}"/>
    <cellStyle name="Normal 14 44" xfId="140" xr:uid="{00000000-0005-0000-0000-000088000000}"/>
    <cellStyle name="Normal 14 45" xfId="141" xr:uid="{00000000-0005-0000-0000-000089000000}"/>
    <cellStyle name="Normal 14 46" xfId="142" xr:uid="{00000000-0005-0000-0000-00008A000000}"/>
    <cellStyle name="Normal 14 47" xfId="143" xr:uid="{00000000-0005-0000-0000-00008B000000}"/>
    <cellStyle name="Normal 14 5" xfId="144" xr:uid="{00000000-0005-0000-0000-00008C000000}"/>
    <cellStyle name="Normal 14 6" xfId="145" xr:uid="{00000000-0005-0000-0000-00008D000000}"/>
    <cellStyle name="Normal 14 7" xfId="146" xr:uid="{00000000-0005-0000-0000-00008E000000}"/>
    <cellStyle name="Normal 14 8" xfId="147" xr:uid="{00000000-0005-0000-0000-00008F000000}"/>
    <cellStyle name="Normal 14 9" xfId="148" xr:uid="{00000000-0005-0000-0000-000090000000}"/>
    <cellStyle name="Normal 15 10" xfId="4" xr:uid="{00000000-0005-0000-0000-000091000000}"/>
    <cellStyle name="Normal 15 11" xfId="149" xr:uid="{00000000-0005-0000-0000-000092000000}"/>
    <cellStyle name="Normal 15 12" xfId="150" xr:uid="{00000000-0005-0000-0000-000093000000}"/>
    <cellStyle name="Normal 15 13" xfId="151" xr:uid="{00000000-0005-0000-0000-000094000000}"/>
    <cellStyle name="Normal 15 14" xfId="152" xr:uid="{00000000-0005-0000-0000-000095000000}"/>
    <cellStyle name="Normal 15 15" xfId="153" xr:uid="{00000000-0005-0000-0000-000096000000}"/>
    <cellStyle name="Normal 15 16" xfId="154" xr:uid="{00000000-0005-0000-0000-000097000000}"/>
    <cellStyle name="Normal 15 17" xfId="155" xr:uid="{00000000-0005-0000-0000-000098000000}"/>
    <cellStyle name="Normal 15 18" xfId="156" xr:uid="{00000000-0005-0000-0000-000099000000}"/>
    <cellStyle name="Normal 15 19" xfId="157" xr:uid="{00000000-0005-0000-0000-00009A000000}"/>
    <cellStyle name="Normal 15 2" xfId="158" xr:uid="{00000000-0005-0000-0000-00009B000000}"/>
    <cellStyle name="Normal 15 20" xfId="159" xr:uid="{00000000-0005-0000-0000-00009C000000}"/>
    <cellStyle name="Normal 15 21" xfId="160" xr:uid="{00000000-0005-0000-0000-00009D000000}"/>
    <cellStyle name="Normal 15 22" xfId="161" xr:uid="{00000000-0005-0000-0000-00009E000000}"/>
    <cellStyle name="Normal 15 23" xfId="162" xr:uid="{00000000-0005-0000-0000-00009F000000}"/>
    <cellStyle name="Normal 15 24" xfId="163" xr:uid="{00000000-0005-0000-0000-0000A0000000}"/>
    <cellStyle name="Normal 15 25" xfId="164" xr:uid="{00000000-0005-0000-0000-0000A1000000}"/>
    <cellStyle name="Normal 15 26" xfId="165" xr:uid="{00000000-0005-0000-0000-0000A2000000}"/>
    <cellStyle name="Normal 15 27" xfId="166" xr:uid="{00000000-0005-0000-0000-0000A3000000}"/>
    <cellStyle name="Normal 15 28" xfId="167" xr:uid="{00000000-0005-0000-0000-0000A4000000}"/>
    <cellStyle name="Normal 15 29" xfId="168" xr:uid="{00000000-0005-0000-0000-0000A5000000}"/>
    <cellStyle name="Normal 15 3" xfId="169" xr:uid="{00000000-0005-0000-0000-0000A6000000}"/>
    <cellStyle name="Normal 15 30" xfId="170" xr:uid="{00000000-0005-0000-0000-0000A7000000}"/>
    <cellStyle name="Normal 15 31" xfId="171" xr:uid="{00000000-0005-0000-0000-0000A8000000}"/>
    <cellStyle name="Normal 15 32" xfId="172" xr:uid="{00000000-0005-0000-0000-0000A9000000}"/>
    <cellStyle name="Normal 15 33" xfId="173" xr:uid="{00000000-0005-0000-0000-0000AA000000}"/>
    <cellStyle name="Normal 15 34" xfId="174" xr:uid="{00000000-0005-0000-0000-0000AB000000}"/>
    <cellStyle name="Normal 15 35" xfId="175" xr:uid="{00000000-0005-0000-0000-0000AC000000}"/>
    <cellStyle name="Normal 15 36" xfId="176" xr:uid="{00000000-0005-0000-0000-0000AD000000}"/>
    <cellStyle name="Normal 15 37" xfId="177" xr:uid="{00000000-0005-0000-0000-0000AE000000}"/>
    <cellStyle name="Normal 15 38" xfId="178" xr:uid="{00000000-0005-0000-0000-0000AF000000}"/>
    <cellStyle name="Normal 15 39" xfId="179" xr:uid="{00000000-0005-0000-0000-0000B0000000}"/>
    <cellStyle name="Normal 15 4" xfId="180" xr:uid="{00000000-0005-0000-0000-0000B1000000}"/>
    <cellStyle name="Normal 15 40" xfId="181" xr:uid="{00000000-0005-0000-0000-0000B2000000}"/>
    <cellStyle name="Normal 15 41" xfId="182" xr:uid="{00000000-0005-0000-0000-0000B3000000}"/>
    <cellStyle name="Normal 15 42" xfId="183" xr:uid="{00000000-0005-0000-0000-0000B4000000}"/>
    <cellStyle name="Normal 15 43" xfId="184" xr:uid="{00000000-0005-0000-0000-0000B5000000}"/>
    <cellStyle name="Normal 15 44" xfId="185" xr:uid="{00000000-0005-0000-0000-0000B6000000}"/>
    <cellStyle name="Normal 15 45" xfId="186" xr:uid="{00000000-0005-0000-0000-0000B7000000}"/>
    <cellStyle name="Normal 15 46" xfId="187" xr:uid="{00000000-0005-0000-0000-0000B8000000}"/>
    <cellStyle name="Normal 15 47" xfId="188" xr:uid="{00000000-0005-0000-0000-0000B9000000}"/>
    <cellStyle name="Normal 15 5" xfId="189" xr:uid="{00000000-0005-0000-0000-0000BA000000}"/>
    <cellStyle name="Normal 15 6" xfId="190" xr:uid="{00000000-0005-0000-0000-0000BB000000}"/>
    <cellStyle name="Normal 15 7" xfId="191" xr:uid="{00000000-0005-0000-0000-0000BC000000}"/>
    <cellStyle name="Normal 15 8" xfId="192" xr:uid="{00000000-0005-0000-0000-0000BD000000}"/>
    <cellStyle name="Normal 15 9" xfId="193" xr:uid="{00000000-0005-0000-0000-0000BE000000}"/>
    <cellStyle name="Normal 17 2" xfId="194" xr:uid="{00000000-0005-0000-0000-0000BF000000}"/>
    <cellStyle name="Normal 17 3" xfId="195" xr:uid="{00000000-0005-0000-0000-0000C0000000}"/>
    <cellStyle name="Normal 2" xfId="2" xr:uid="{00000000-0005-0000-0000-0000C1000000}"/>
    <cellStyle name="Normal 2 10" xfId="196" xr:uid="{00000000-0005-0000-0000-0000C2000000}"/>
    <cellStyle name="Normal 2 10 10" xfId="5" xr:uid="{00000000-0005-0000-0000-0000C3000000}"/>
    <cellStyle name="Normal 2 10 11" xfId="197" xr:uid="{00000000-0005-0000-0000-0000C4000000}"/>
    <cellStyle name="Normal 2 10 12" xfId="198" xr:uid="{00000000-0005-0000-0000-0000C5000000}"/>
    <cellStyle name="Normal 2 10 13" xfId="199" xr:uid="{00000000-0005-0000-0000-0000C6000000}"/>
    <cellStyle name="Normal 2 10 14" xfId="200" xr:uid="{00000000-0005-0000-0000-0000C7000000}"/>
    <cellStyle name="Normal 2 10 15" xfId="201" xr:uid="{00000000-0005-0000-0000-0000C8000000}"/>
    <cellStyle name="Normal 2 10 16" xfId="202" xr:uid="{00000000-0005-0000-0000-0000C9000000}"/>
    <cellStyle name="Normal 2 10 17" xfId="203" xr:uid="{00000000-0005-0000-0000-0000CA000000}"/>
    <cellStyle name="Normal 2 10 18" xfId="204" xr:uid="{00000000-0005-0000-0000-0000CB000000}"/>
    <cellStyle name="Normal 2 10 19" xfId="205" xr:uid="{00000000-0005-0000-0000-0000CC000000}"/>
    <cellStyle name="Normal 2 10 2" xfId="206" xr:uid="{00000000-0005-0000-0000-0000CD000000}"/>
    <cellStyle name="Normal 2 10 20" xfId="207" xr:uid="{00000000-0005-0000-0000-0000CE000000}"/>
    <cellStyle name="Normal 2 10 21" xfId="208" xr:uid="{00000000-0005-0000-0000-0000CF000000}"/>
    <cellStyle name="Normal 2 10 22" xfId="209" xr:uid="{00000000-0005-0000-0000-0000D0000000}"/>
    <cellStyle name="Normal 2 10 23" xfId="210" xr:uid="{00000000-0005-0000-0000-0000D1000000}"/>
    <cellStyle name="Normal 2 10 24" xfId="211" xr:uid="{00000000-0005-0000-0000-0000D2000000}"/>
    <cellStyle name="Normal 2 10 25" xfId="212" xr:uid="{00000000-0005-0000-0000-0000D3000000}"/>
    <cellStyle name="Normal 2 10 26" xfId="213" xr:uid="{00000000-0005-0000-0000-0000D4000000}"/>
    <cellStyle name="Normal 2 10 27" xfId="214" xr:uid="{00000000-0005-0000-0000-0000D5000000}"/>
    <cellStyle name="Normal 2 10 28" xfId="215" xr:uid="{00000000-0005-0000-0000-0000D6000000}"/>
    <cellStyle name="Normal 2 10 29" xfId="216" xr:uid="{00000000-0005-0000-0000-0000D7000000}"/>
    <cellStyle name="Normal 2 10 3" xfId="217" xr:uid="{00000000-0005-0000-0000-0000D8000000}"/>
    <cellStyle name="Normal 2 10 30" xfId="218" xr:uid="{00000000-0005-0000-0000-0000D9000000}"/>
    <cellStyle name="Normal 2 10 31" xfId="219" xr:uid="{00000000-0005-0000-0000-0000DA000000}"/>
    <cellStyle name="Normal 2 10 32" xfId="220" xr:uid="{00000000-0005-0000-0000-0000DB000000}"/>
    <cellStyle name="Normal 2 10 33" xfId="221" xr:uid="{00000000-0005-0000-0000-0000DC000000}"/>
    <cellStyle name="Normal 2 10 34" xfId="222" xr:uid="{00000000-0005-0000-0000-0000DD000000}"/>
    <cellStyle name="Normal 2 10 35" xfId="223" xr:uid="{00000000-0005-0000-0000-0000DE000000}"/>
    <cellStyle name="Normal 2 10 36" xfId="224" xr:uid="{00000000-0005-0000-0000-0000DF000000}"/>
    <cellStyle name="Normal 2 10 37" xfId="225" xr:uid="{00000000-0005-0000-0000-0000E0000000}"/>
    <cellStyle name="Normal 2 10 38" xfId="226" xr:uid="{00000000-0005-0000-0000-0000E1000000}"/>
    <cellStyle name="Normal 2 10 39" xfId="227" xr:uid="{00000000-0005-0000-0000-0000E2000000}"/>
    <cellStyle name="Normal 2 10 4" xfId="228" xr:uid="{00000000-0005-0000-0000-0000E3000000}"/>
    <cellStyle name="Normal 2 10 40" xfId="229" xr:uid="{00000000-0005-0000-0000-0000E4000000}"/>
    <cellStyle name="Normal 2 10 41" xfId="230" xr:uid="{00000000-0005-0000-0000-0000E5000000}"/>
    <cellStyle name="Normal 2 10 42" xfId="231" xr:uid="{00000000-0005-0000-0000-0000E6000000}"/>
    <cellStyle name="Normal 2 10 43" xfId="232" xr:uid="{00000000-0005-0000-0000-0000E7000000}"/>
    <cellStyle name="Normal 2 10 5" xfId="233" xr:uid="{00000000-0005-0000-0000-0000E8000000}"/>
    <cellStyle name="Normal 2 10 6" xfId="234" xr:uid="{00000000-0005-0000-0000-0000E9000000}"/>
    <cellStyle name="Normal 2 10 7" xfId="235" xr:uid="{00000000-0005-0000-0000-0000EA000000}"/>
    <cellStyle name="Normal 2 10 8" xfId="236" xr:uid="{00000000-0005-0000-0000-0000EB000000}"/>
    <cellStyle name="Normal 2 10 9" xfId="237" xr:uid="{00000000-0005-0000-0000-0000EC000000}"/>
    <cellStyle name="Normal 2 11" xfId="238" xr:uid="{00000000-0005-0000-0000-0000ED000000}"/>
    <cellStyle name="Normal 2 11 10" xfId="239" xr:uid="{00000000-0005-0000-0000-0000EE000000}"/>
    <cellStyle name="Normal 2 11 11" xfId="240" xr:uid="{00000000-0005-0000-0000-0000EF000000}"/>
    <cellStyle name="Normal 2 11 12" xfId="241" xr:uid="{00000000-0005-0000-0000-0000F0000000}"/>
    <cellStyle name="Normal 2 11 13" xfId="242" xr:uid="{00000000-0005-0000-0000-0000F1000000}"/>
    <cellStyle name="Normal 2 11 14" xfId="243" xr:uid="{00000000-0005-0000-0000-0000F2000000}"/>
    <cellStyle name="Normal 2 11 15" xfId="244" xr:uid="{00000000-0005-0000-0000-0000F3000000}"/>
    <cellStyle name="Normal 2 11 16" xfId="245" xr:uid="{00000000-0005-0000-0000-0000F4000000}"/>
    <cellStyle name="Normal 2 11 17" xfId="246" xr:uid="{00000000-0005-0000-0000-0000F5000000}"/>
    <cellStyle name="Normal 2 11 18" xfId="247" xr:uid="{00000000-0005-0000-0000-0000F6000000}"/>
    <cellStyle name="Normal 2 11 19" xfId="248" xr:uid="{00000000-0005-0000-0000-0000F7000000}"/>
    <cellStyle name="Normal 2 11 2" xfId="249" xr:uid="{00000000-0005-0000-0000-0000F8000000}"/>
    <cellStyle name="Normal 2 11 20" xfId="250" xr:uid="{00000000-0005-0000-0000-0000F9000000}"/>
    <cellStyle name="Normal 2 11 21" xfId="251" xr:uid="{00000000-0005-0000-0000-0000FA000000}"/>
    <cellStyle name="Normal 2 11 22" xfId="252" xr:uid="{00000000-0005-0000-0000-0000FB000000}"/>
    <cellStyle name="Normal 2 11 23" xfId="253" xr:uid="{00000000-0005-0000-0000-0000FC000000}"/>
    <cellStyle name="Normal 2 11 24" xfId="254" xr:uid="{00000000-0005-0000-0000-0000FD000000}"/>
    <cellStyle name="Normal 2 11 25" xfId="255" xr:uid="{00000000-0005-0000-0000-0000FE000000}"/>
    <cellStyle name="Normal 2 11 26" xfId="256" xr:uid="{00000000-0005-0000-0000-0000FF000000}"/>
    <cellStyle name="Normal 2 11 27" xfId="257" xr:uid="{00000000-0005-0000-0000-000000010000}"/>
    <cellStyle name="Normal 2 11 28" xfId="258" xr:uid="{00000000-0005-0000-0000-000001010000}"/>
    <cellStyle name="Normal 2 11 29" xfId="259" xr:uid="{00000000-0005-0000-0000-000002010000}"/>
    <cellStyle name="Normal 2 11 3" xfId="260" xr:uid="{00000000-0005-0000-0000-000003010000}"/>
    <cellStyle name="Normal 2 11 30" xfId="261" xr:uid="{00000000-0005-0000-0000-000004010000}"/>
    <cellStyle name="Normal 2 11 31" xfId="262" xr:uid="{00000000-0005-0000-0000-000005010000}"/>
    <cellStyle name="Normal 2 11 32" xfId="263" xr:uid="{00000000-0005-0000-0000-000006010000}"/>
    <cellStyle name="Normal 2 11 33" xfId="264" xr:uid="{00000000-0005-0000-0000-000007010000}"/>
    <cellStyle name="Normal 2 11 34" xfId="265" xr:uid="{00000000-0005-0000-0000-000008010000}"/>
    <cellStyle name="Normal 2 11 35" xfId="266" xr:uid="{00000000-0005-0000-0000-000009010000}"/>
    <cellStyle name="Normal 2 11 36" xfId="267" xr:uid="{00000000-0005-0000-0000-00000A010000}"/>
    <cellStyle name="Normal 2 11 37" xfId="268" xr:uid="{00000000-0005-0000-0000-00000B010000}"/>
    <cellStyle name="Normal 2 11 38" xfId="269" xr:uid="{00000000-0005-0000-0000-00000C010000}"/>
    <cellStyle name="Normal 2 11 39" xfId="270" xr:uid="{00000000-0005-0000-0000-00000D010000}"/>
    <cellStyle name="Normal 2 11 4" xfId="271" xr:uid="{00000000-0005-0000-0000-00000E010000}"/>
    <cellStyle name="Normal 2 11 40" xfId="272" xr:uid="{00000000-0005-0000-0000-00000F010000}"/>
    <cellStyle name="Normal 2 11 41" xfId="273" xr:uid="{00000000-0005-0000-0000-000010010000}"/>
    <cellStyle name="Normal 2 11 42" xfId="274" xr:uid="{00000000-0005-0000-0000-000011010000}"/>
    <cellStyle name="Normal 2 11 43" xfId="275" xr:uid="{00000000-0005-0000-0000-000012010000}"/>
    <cellStyle name="Normal 2 11 5" xfId="276" xr:uid="{00000000-0005-0000-0000-000013010000}"/>
    <cellStyle name="Normal 2 11 6" xfId="277" xr:uid="{00000000-0005-0000-0000-000014010000}"/>
    <cellStyle name="Normal 2 11 7" xfId="278" xr:uid="{00000000-0005-0000-0000-000015010000}"/>
    <cellStyle name="Normal 2 11 8" xfId="279" xr:uid="{00000000-0005-0000-0000-000016010000}"/>
    <cellStyle name="Normal 2 11 9" xfId="280" xr:uid="{00000000-0005-0000-0000-000017010000}"/>
    <cellStyle name="Normal 2 12" xfId="281" xr:uid="{00000000-0005-0000-0000-000018010000}"/>
    <cellStyle name="Normal 2 12 2" xfId="282" xr:uid="{00000000-0005-0000-0000-000019010000}"/>
    <cellStyle name="Normal 2 12 2 2" xfId="283" xr:uid="{00000000-0005-0000-0000-00001A010000}"/>
    <cellStyle name="Normal 2 12 2 3" xfId="284" xr:uid="{00000000-0005-0000-0000-00001B010000}"/>
    <cellStyle name="Normal 2 12 2 4" xfId="285" xr:uid="{00000000-0005-0000-0000-00001C010000}"/>
    <cellStyle name="Normal 2 12 2 5" xfId="286" xr:uid="{00000000-0005-0000-0000-00001D010000}"/>
    <cellStyle name="Normal 2 12 2 6" xfId="287" xr:uid="{00000000-0005-0000-0000-00001E010000}"/>
    <cellStyle name="Normal 2 12 3" xfId="288" xr:uid="{00000000-0005-0000-0000-00001F010000}"/>
    <cellStyle name="Normal 2 12 4" xfId="289" xr:uid="{00000000-0005-0000-0000-000020010000}"/>
    <cellStyle name="Normal 2 12 5" xfId="290" xr:uid="{00000000-0005-0000-0000-000021010000}"/>
    <cellStyle name="Normal 2 12 6" xfId="291" xr:uid="{00000000-0005-0000-0000-000022010000}"/>
    <cellStyle name="Normal 2 12 7" xfId="292" xr:uid="{00000000-0005-0000-0000-000023010000}"/>
    <cellStyle name="Normal 2 12 8" xfId="293" xr:uid="{00000000-0005-0000-0000-000024010000}"/>
    <cellStyle name="Normal 2 12 9" xfId="294" xr:uid="{00000000-0005-0000-0000-000025010000}"/>
    <cellStyle name="Normal 2 13" xfId="295" xr:uid="{00000000-0005-0000-0000-000026010000}"/>
    <cellStyle name="Normal 2 13 2" xfId="296" xr:uid="{00000000-0005-0000-0000-000027010000}"/>
    <cellStyle name="Normal 2 13 3" xfId="297" xr:uid="{00000000-0005-0000-0000-000028010000}"/>
    <cellStyle name="Normal 2 13 4" xfId="298" xr:uid="{00000000-0005-0000-0000-000029010000}"/>
    <cellStyle name="Normal 2 13 5" xfId="299" xr:uid="{00000000-0005-0000-0000-00002A010000}"/>
    <cellStyle name="Normal 2 13 6" xfId="300" xr:uid="{00000000-0005-0000-0000-00002B010000}"/>
    <cellStyle name="Normal 2 13 7" xfId="301" xr:uid="{00000000-0005-0000-0000-00002C010000}"/>
    <cellStyle name="Normal 2 13 8" xfId="302" xr:uid="{00000000-0005-0000-0000-00002D010000}"/>
    <cellStyle name="Normal 2 13 9" xfId="303" xr:uid="{00000000-0005-0000-0000-00002E010000}"/>
    <cellStyle name="Normal 2 14" xfId="304" xr:uid="{00000000-0005-0000-0000-00002F010000}"/>
    <cellStyle name="Normal 2 14 2" xfId="305" xr:uid="{00000000-0005-0000-0000-000030010000}"/>
    <cellStyle name="Normal 2 14 3" xfId="306" xr:uid="{00000000-0005-0000-0000-000031010000}"/>
    <cellStyle name="Normal 2 14 4" xfId="307" xr:uid="{00000000-0005-0000-0000-000032010000}"/>
    <cellStyle name="Normal 2 14 5" xfId="308" xr:uid="{00000000-0005-0000-0000-000033010000}"/>
    <cellStyle name="Normal 2 14 6" xfId="309" xr:uid="{00000000-0005-0000-0000-000034010000}"/>
    <cellStyle name="Normal 2 14 7" xfId="310" xr:uid="{00000000-0005-0000-0000-000035010000}"/>
    <cellStyle name="Normal 2 14 8" xfId="311" xr:uid="{00000000-0005-0000-0000-000036010000}"/>
    <cellStyle name="Normal 2 14 9" xfId="312" xr:uid="{00000000-0005-0000-0000-000037010000}"/>
    <cellStyle name="Normal 2 15" xfId="313" xr:uid="{00000000-0005-0000-0000-000038010000}"/>
    <cellStyle name="Normal 2 15 2" xfId="314" xr:uid="{00000000-0005-0000-0000-000039010000}"/>
    <cellStyle name="Normal 2 15 3" xfId="315" xr:uid="{00000000-0005-0000-0000-00003A010000}"/>
    <cellStyle name="Normal 2 15 4" xfId="316" xr:uid="{00000000-0005-0000-0000-00003B010000}"/>
    <cellStyle name="Normal 2 15 5" xfId="317" xr:uid="{00000000-0005-0000-0000-00003C010000}"/>
    <cellStyle name="Normal 2 15 6" xfId="318" xr:uid="{00000000-0005-0000-0000-00003D010000}"/>
    <cellStyle name="Normal 2 15 7" xfId="319" xr:uid="{00000000-0005-0000-0000-00003E010000}"/>
    <cellStyle name="Normal 2 15 8" xfId="320" xr:uid="{00000000-0005-0000-0000-00003F010000}"/>
    <cellStyle name="Normal 2 15 9" xfId="321" xr:uid="{00000000-0005-0000-0000-000040010000}"/>
    <cellStyle name="Normal 2 16" xfId="322" xr:uid="{00000000-0005-0000-0000-000041010000}"/>
    <cellStyle name="Normal 2 16 2" xfId="323" xr:uid="{00000000-0005-0000-0000-000042010000}"/>
    <cellStyle name="Normal 2 16 3" xfId="324" xr:uid="{00000000-0005-0000-0000-000043010000}"/>
    <cellStyle name="Normal 2 16 4" xfId="325" xr:uid="{00000000-0005-0000-0000-000044010000}"/>
    <cellStyle name="Normal 2 16 5" xfId="326" xr:uid="{00000000-0005-0000-0000-000045010000}"/>
    <cellStyle name="Normal 2 16 6" xfId="327" xr:uid="{00000000-0005-0000-0000-000046010000}"/>
    <cellStyle name="Normal 2 16 7" xfId="328" xr:uid="{00000000-0005-0000-0000-000047010000}"/>
    <cellStyle name="Normal 2 16 8" xfId="329" xr:uid="{00000000-0005-0000-0000-000048010000}"/>
    <cellStyle name="Normal 2 16 9" xfId="330" xr:uid="{00000000-0005-0000-0000-000049010000}"/>
    <cellStyle name="Normal 2 17" xfId="331" xr:uid="{00000000-0005-0000-0000-00004A010000}"/>
    <cellStyle name="Normal 2 17 2" xfId="332" xr:uid="{00000000-0005-0000-0000-00004B010000}"/>
    <cellStyle name="Normal 2 17 3" xfId="333" xr:uid="{00000000-0005-0000-0000-00004C010000}"/>
    <cellStyle name="Normal 2 17 4" xfId="334" xr:uid="{00000000-0005-0000-0000-00004D010000}"/>
    <cellStyle name="Normal 2 17 5" xfId="335" xr:uid="{00000000-0005-0000-0000-00004E010000}"/>
    <cellStyle name="Normal 2 17 6" xfId="336" xr:uid="{00000000-0005-0000-0000-00004F010000}"/>
    <cellStyle name="Normal 2 17 7" xfId="337" xr:uid="{00000000-0005-0000-0000-000050010000}"/>
    <cellStyle name="Normal 2 17 8" xfId="338" xr:uid="{00000000-0005-0000-0000-000051010000}"/>
    <cellStyle name="Normal 2 17 9" xfId="339" xr:uid="{00000000-0005-0000-0000-000052010000}"/>
    <cellStyle name="Normal 2 18" xfId="340" xr:uid="{00000000-0005-0000-0000-000053010000}"/>
    <cellStyle name="Normal 2 18 2" xfId="341" xr:uid="{00000000-0005-0000-0000-000054010000}"/>
    <cellStyle name="Normal 2 18 3" xfId="342" xr:uid="{00000000-0005-0000-0000-000055010000}"/>
    <cellStyle name="Normal 2 18 4" xfId="343" xr:uid="{00000000-0005-0000-0000-000056010000}"/>
    <cellStyle name="Normal 2 18 5" xfId="344" xr:uid="{00000000-0005-0000-0000-000057010000}"/>
    <cellStyle name="Normal 2 18 6" xfId="345" xr:uid="{00000000-0005-0000-0000-000058010000}"/>
    <cellStyle name="Normal 2 18 7" xfId="346" xr:uid="{00000000-0005-0000-0000-000059010000}"/>
    <cellStyle name="Normal 2 18 8" xfId="347" xr:uid="{00000000-0005-0000-0000-00005A010000}"/>
    <cellStyle name="Normal 2 18 9" xfId="348" xr:uid="{00000000-0005-0000-0000-00005B010000}"/>
    <cellStyle name="Normal 2 19" xfId="349" xr:uid="{00000000-0005-0000-0000-00005C010000}"/>
    <cellStyle name="Normal 2 19 2" xfId="350" xr:uid="{00000000-0005-0000-0000-00005D010000}"/>
    <cellStyle name="Normal 2 19 3" xfId="351" xr:uid="{00000000-0005-0000-0000-00005E010000}"/>
    <cellStyle name="Normal 2 19 4" xfId="352" xr:uid="{00000000-0005-0000-0000-00005F010000}"/>
    <cellStyle name="Normal 2 19 5" xfId="353" xr:uid="{00000000-0005-0000-0000-000060010000}"/>
    <cellStyle name="Normal 2 19 6" xfId="354" xr:uid="{00000000-0005-0000-0000-000061010000}"/>
    <cellStyle name="Normal 2 19 7" xfId="355" xr:uid="{00000000-0005-0000-0000-000062010000}"/>
    <cellStyle name="Normal 2 19 8" xfId="356" xr:uid="{00000000-0005-0000-0000-000063010000}"/>
    <cellStyle name="Normal 2 19 9" xfId="357" xr:uid="{00000000-0005-0000-0000-000064010000}"/>
    <cellStyle name="Normal 2 2" xfId="358" xr:uid="{00000000-0005-0000-0000-000065010000}"/>
    <cellStyle name="Normal 2 2 10" xfId="359" xr:uid="{00000000-0005-0000-0000-000066010000}"/>
    <cellStyle name="Normal 2 2 11" xfId="360" xr:uid="{00000000-0005-0000-0000-000067010000}"/>
    <cellStyle name="Normal 2 2 12" xfId="361" xr:uid="{00000000-0005-0000-0000-000068010000}"/>
    <cellStyle name="Normal 2 2 13" xfId="362" xr:uid="{00000000-0005-0000-0000-000069010000}"/>
    <cellStyle name="Normal 2 2 14" xfId="363" xr:uid="{00000000-0005-0000-0000-00006A010000}"/>
    <cellStyle name="Normal 2 2 15" xfId="364" xr:uid="{00000000-0005-0000-0000-00006B010000}"/>
    <cellStyle name="Normal 2 2 16" xfId="365" xr:uid="{00000000-0005-0000-0000-00006C010000}"/>
    <cellStyle name="Normal 2 2 17" xfId="366" xr:uid="{00000000-0005-0000-0000-00006D010000}"/>
    <cellStyle name="Normal 2 2 18" xfId="367" xr:uid="{00000000-0005-0000-0000-00006E010000}"/>
    <cellStyle name="Normal 2 2 19" xfId="368" xr:uid="{00000000-0005-0000-0000-00006F010000}"/>
    <cellStyle name="Normal 2 2 2" xfId="369" xr:uid="{00000000-0005-0000-0000-000070010000}"/>
    <cellStyle name="Normal 2 2 20" xfId="370" xr:uid="{00000000-0005-0000-0000-000071010000}"/>
    <cellStyle name="Normal 2 2 21" xfId="371" xr:uid="{00000000-0005-0000-0000-000072010000}"/>
    <cellStyle name="Normal 2 2 22" xfId="372" xr:uid="{00000000-0005-0000-0000-000073010000}"/>
    <cellStyle name="Normal 2 2 23" xfId="373" xr:uid="{00000000-0005-0000-0000-000074010000}"/>
    <cellStyle name="Normal 2 2 24" xfId="374" xr:uid="{00000000-0005-0000-0000-000075010000}"/>
    <cellStyle name="Normal 2 2 25" xfId="375" xr:uid="{00000000-0005-0000-0000-000076010000}"/>
    <cellStyle name="Normal 2 2 26" xfId="376" xr:uid="{00000000-0005-0000-0000-000077010000}"/>
    <cellStyle name="Normal 2 2 27" xfId="377" xr:uid="{00000000-0005-0000-0000-000078010000}"/>
    <cellStyle name="Normal 2 2 28" xfId="378" xr:uid="{00000000-0005-0000-0000-000079010000}"/>
    <cellStyle name="Normal 2 2 29" xfId="379" xr:uid="{00000000-0005-0000-0000-00007A010000}"/>
    <cellStyle name="Normal 2 2 3" xfId="380" xr:uid="{00000000-0005-0000-0000-00007B010000}"/>
    <cellStyle name="Normal 2 2 30" xfId="381" xr:uid="{00000000-0005-0000-0000-00007C010000}"/>
    <cellStyle name="Normal 2 2 31" xfId="382" xr:uid="{00000000-0005-0000-0000-00007D010000}"/>
    <cellStyle name="Normal 2 2 32" xfId="383" xr:uid="{00000000-0005-0000-0000-00007E010000}"/>
    <cellStyle name="Normal 2 2 33" xfId="384" xr:uid="{00000000-0005-0000-0000-00007F010000}"/>
    <cellStyle name="Normal 2 2 34" xfId="385" xr:uid="{00000000-0005-0000-0000-000080010000}"/>
    <cellStyle name="Normal 2 2 35" xfId="386" xr:uid="{00000000-0005-0000-0000-000081010000}"/>
    <cellStyle name="Normal 2 2 36" xfId="387" xr:uid="{00000000-0005-0000-0000-000082010000}"/>
    <cellStyle name="Normal 2 2 37" xfId="388" xr:uid="{00000000-0005-0000-0000-000083010000}"/>
    <cellStyle name="Normal 2 2 38" xfId="389" xr:uid="{00000000-0005-0000-0000-000084010000}"/>
    <cellStyle name="Normal 2 2 39" xfId="390" xr:uid="{00000000-0005-0000-0000-000085010000}"/>
    <cellStyle name="Normal 2 2 4" xfId="391" xr:uid="{00000000-0005-0000-0000-000086010000}"/>
    <cellStyle name="Normal 2 2 40" xfId="392" xr:uid="{00000000-0005-0000-0000-000087010000}"/>
    <cellStyle name="Normal 2 2 41" xfId="393" xr:uid="{00000000-0005-0000-0000-000088010000}"/>
    <cellStyle name="Normal 2 2 42" xfId="394" xr:uid="{00000000-0005-0000-0000-000089010000}"/>
    <cellStyle name="Normal 2 2 43" xfId="395" xr:uid="{00000000-0005-0000-0000-00008A010000}"/>
    <cellStyle name="Normal 2 2 43 2" xfId="396" xr:uid="{00000000-0005-0000-0000-00008B010000}"/>
    <cellStyle name="Normal 2 2 44" xfId="397" xr:uid="{00000000-0005-0000-0000-00008C010000}"/>
    <cellStyle name="Normal 2 2 45" xfId="398" xr:uid="{00000000-0005-0000-0000-00008D010000}"/>
    <cellStyle name="Normal 2 2 5" xfId="399" xr:uid="{00000000-0005-0000-0000-00008E010000}"/>
    <cellStyle name="Normal 2 2 6" xfId="400" xr:uid="{00000000-0005-0000-0000-00008F010000}"/>
    <cellStyle name="Normal 2 2 7" xfId="401" xr:uid="{00000000-0005-0000-0000-000090010000}"/>
    <cellStyle name="Normal 2 2 8" xfId="402" xr:uid="{00000000-0005-0000-0000-000091010000}"/>
    <cellStyle name="Normal 2 2 9" xfId="403" xr:uid="{00000000-0005-0000-0000-000092010000}"/>
    <cellStyle name="Normal 2 20" xfId="404" xr:uid="{00000000-0005-0000-0000-000093010000}"/>
    <cellStyle name="Normal 2 20 2" xfId="405" xr:uid="{00000000-0005-0000-0000-000094010000}"/>
    <cellStyle name="Normal 2 20 3" xfId="406" xr:uid="{00000000-0005-0000-0000-000095010000}"/>
    <cellStyle name="Normal 2 20 4" xfId="407" xr:uid="{00000000-0005-0000-0000-000096010000}"/>
    <cellStyle name="Normal 2 20 5" xfId="408" xr:uid="{00000000-0005-0000-0000-000097010000}"/>
    <cellStyle name="Normal 2 20 6" xfId="409" xr:uid="{00000000-0005-0000-0000-000098010000}"/>
    <cellStyle name="Normal 2 20 7" xfId="410" xr:uid="{00000000-0005-0000-0000-000099010000}"/>
    <cellStyle name="Normal 2 20 8" xfId="411" xr:uid="{00000000-0005-0000-0000-00009A010000}"/>
    <cellStyle name="Normal 2 20 9" xfId="412" xr:uid="{00000000-0005-0000-0000-00009B010000}"/>
    <cellStyle name="Normal 2 21" xfId="413" xr:uid="{00000000-0005-0000-0000-00009C010000}"/>
    <cellStyle name="Normal 2 21 2" xfId="414" xr:uid="{00000000-0005-0000-0000-00009D010000}"/>
    <cellStyle name="Normal 2 21 3" xfId="415" xr:uid="{00000000-0005-0000-0000-00009E010000}"/>
    <cellStyle name="Normal 2 21 4" xfId="416" xr:uid="{00000000-0005-0000-0000-00009F010000}"/>
    <cellStyle name="Normal 2 21 5" xfId="417" xr:uid="{00000000-0005-0000-0000-0000A0010000}"/>
    <cellStyle name="Normal 2 21 6" xfId="418" xr:uid="{00000000-0005-0000-0000-0000A1010000}"/>
    <cellStyle name="Normal 2 21 7" xfId="419" xr:uid="{00000000-0005-0000-0000-0000A2010000}"/>
    <cellStyle name="Normal 2 21 8" xfId="420" xr:uid="{00000000-0005-0000-0000-0000A3010000}"/>
    <cellStyle name="Normal 2 21 9" xfId="421" xr:uid="{00000000-0005-0000-0000-0000A4010000}"/>
    <cellStyle name="Normal 2 22" xfId="422" xr:uid="{00000000-0005-0000-0000-0000A5010000}"/>
    <cellStyle name="Normal 2 22 2" xfId="423" xr:uid="{00000000-0005-0000-0000-0000A6010000}"/>
    <cellStyle name="Normal 2 22 3" xfId="424" xr:uid="{00000000-0005-0000-0000-0000A7010000}"/>
    <cellStyle name="Normal 2 22 4" xfId="425" xr:uid="{00000000-0005-0000-0000-0000A8010000}"/>
    <cellStyle name="Normal 2 22 5" xfId="426" xr:uid="{00000000-0005-0000-0000-0000A9010000}"/>
    <cellStyle name="Normal 2 22 6" xfId="427" xr:uid="{00000000-0005-0000-0000-0000AA010000}"/>
    <cellStyle name="Normal 2 22 7" xfId="428" xr:uid="{00000000-0005-0000-0000-0000AB010000}"/>
    <cellStyle name="Normal 2 22 8" xfId="429" xr:uid="{00000000-0005-0000-0000-0000AC010000}"/>
    <cellStyle name="Normal 2 22 9" xfId="430" xr:uid="{00000000-0005-0000-0000-0000AD010000}"/>
    <cellStyle name="Normal 2 23" xfId="431" xr:uid="{00000000-0005-0000-0000-0000AE010000}"/>
    <cellStyle name="Normal 2 23 2" xfId="432" xr:uid="{00000000-0005-0000-0000-0000AF010000}"/>
    <cellStyle name="Normal 2 23 3" xfId="433" xr:uid="{00000000-0005-0000-0000-0000B0010000}"/>
    <cellStyle name="Normal 2 23 4" xfId="434" xr:uid="{00000000-0005-0000-0000-0000B1010000}"/>
    <cellStyle name="Normal 2 23 5" xfId="435" xr:uid="{00000000-0005-0000-0000-0000B2010000}"/>
    <cellStyle name="Normal 2 23 6" xfId="436" xr:uid="{00000000-0005-0000-0000-0000B3010000}"/>
    <cellStyle name="Normal 2 23 7" xfId="437" xr:uid="{00000000-0005-0000-0000-0000B4010000}"/>
    <cellStyle name="Normal 2 23 8" xfId="438" xr:uid="{00000000-0005-0000-0000-0000B5010000}"/>
    <cellStyle name="Normal 2 23 9" xfId="439" xr:uid="{00000000-0005-0000-0000-0000B6010000}"/>
    <cellStyle name="Normal 2 24" xfId="440" xr:uid="{00000000-0005-0000-0000-0000B7010000}"/>
    <cellStyle name="Normal 2 24 2" xfId="441" xr:uid="{00000000-0005-0000-0000-0000B8010000}"/>
    <cellStyle name="Normal 2 24 3" xfId="442" xr:uid="{00000000-0005-0000-0000-0000B9010000}"/>
    <cellStyle name="Normal 2 24 4" xfId="443" xr:uid="{00000000-0005-0000-0000-0000BA010000}"/>
    <cellStyle name="Normal 2 24 5" xfId="444" xr:uid="{00000000-0005-0000-0000-0000BB010000}"/>
    <cellStyle name="Normal 2 24 6" xfId="445" xr:uid="{00000000-0005-0000-0000-0000BC010000}"/>
    <cellStyle name="Normal 2 24 7" xfId="446" xr:uid="{00000000-0005-0000-0000-0000BD010000}"/>
    <cellStyle name="Normal 2 24 8" xfId="447" xr:uid="{00000000-0005-0000-0000-0000BE010000}"/>
    <cellStyle name="Normal 2 24 9" xfId="448" xr:uid="{00000000-0005-0000-0000-0000BF010000}"/>
    <cellStyle name="Normal 2 25" xfId="449" xr:uid="{00000000-0005-0000-0000-0000C0010000}"/>
    <cellStyle name="Normal 2 25 2" xfId="450" xr:uid="{00000000-0005-0000-0000-0000C1010000}"/>
    <cellStyle name="Normal 2 25 3" xfId="451" xr:uid="{00000000-0005-0000-0000-0000C2010000}"/>
    <cellStyle name="Normal 2 25 4" xfId="452" xr:uid="{00000000-0005-0000-0000-0000C3010000}"/>
    <cellStyle name="Normal 2 25 5" xfId="453" xr:uid="{00000000-0005-0000-0000-0000C4010000}"/>
    <cellStyle name="Normal 2 25 6" xfId="454" xr:uid="{00000000-0005-0000-0000-0000C5010000}"/>
    <cellStyle name="Normal 2 25 7" xfId="455" xr:uid="{00000000-0005-0000-0000-0000C6010000}"/>
    <cellStyle name="Normal 2 25 8" xfId="456" xr:uid="{00000000-0005-0000-0000-0000C7010000}"/>
    <cellStyle name="Normal 2 25 9" xfId="457" xr:uid="{00000000-0005-0000-0000-0000C8010000}"/>
    <cellStyle name="Normal 2 26" xfId="458" xr:uid="{00000000-0005-0000-0000-0000C9010000}"/>
    <cellStyle name="Normal 2 26 2" xfId="459" xr:uid="{00000000-0005-0000-0000-0000CA010000}"/>
    <cellStyle name="Normal 2 26 3" xfId="460" xr:uid="{00000000-0005-0000-0000-0000CB010000}"/>
    <cellStyle name="Normal 2 26 4" xfId="461" xr:uid="{00000000-0005-0000-0000-0000CC010000}"/>
    <cellStyle name="Normal 2 26 5" xfId="462" xr:uid="{00000000-0005-0000-0000-0000CD010000}"/>
    <cellStyle name="Normal 2 26 6" xfId="463" xr:uid="{00000000-0005-0000-0000-0000CE010000}"/>
    <cellStyle name="Normal 2 26 7" xfId="464" xr:uid="{00000000-0005-0000-0000-0000CF010000}"/>
    <cellStyle name="Normal 2 26 8" xfId="465" xr:uid="{00000000-0005-0000-0000-0000D0010000}"/>
    <cellStyle name="Normal 2 26 9" xfId="466" xr:uid="{00000000-0005-0000-0000-0000D1010000}"/>
    <cellStyle name="Normal 2 27" xfId="467" xr:uid="{00000000-0005-0000-0000-0000D2010000}"/>
    <cellStyle name="Normal 2 27 2" xfId="468" xr:uid="{00000000-0005-0000-0000-0000D3010000}"/>
    <cellStyle name="Normal 2 27 3" xfId="469" xr:uid="{00000000-0005-0000-0000-0000D4010000}"/>
    <cellStyle name="Normal 2 27 4" xfId="470" xr:uid="{00000000-0005-0000-0000-0000D5010000}"/>
    <cellStyle name="Normal 2 27 5" xfId="471" xr:uid="{00000000-0005-0000-0000-0000D6010000}"/>
    <cellStyle name="Normal 2 27 6" xfId="472" xr:uid="{00000000-0005-0000-0000-0000D7010000}"/>
    <cellStyle name="Normal 2 27 7" xfId="473" xr:uid="{00000000-0005-0000-0000-0000D8010000}"/>
    <cellStyle name="Normal 2 27 8" xfId="474" xr:uid="{00000000-0005-0000-0000-0000D9010000}"/>
    <cellStyle name="Normal 2 27 9" xfId="475" xr:uid="{00000000-0005-0000-0000-0000DA010000}"/>
    <cellStyle name="Normal 2 28" xfId="476" xr:uid="{00000000-0005-0000-0000-0000DB010000}"/>
    <cellStyle name="Normal 2 28 2" xfId="477" xr:uid="{00000000-0005-0000-0000-0000DC010000}"/>
    <cellStyle name="Normal 2 28 3" xfId="478" xr:uid="{00000000-0005-0000-0000-0000DD010000}"/>
    <cellStyle name="Normal 2 28 4" xfId="479" xr:uid="{00000000-0005-0000-0000-0000DE010000}"/>
    <cellStyle name="Normal 2 28 5" xfId="480" xr:uid="{00000000-0005-0000-0000-0000DF010000}"/>
    <cellStyle name="Normal 2 28 6" xfId="481" xr:uid="{00000000-0005-0000-0000-0000E0010000}"/>
    <cellStyle name="Normal 2 28 7" xfId="482" xr:uid="{00000000-0005-0000-0000-0000E1010000}"/>
    <cellStyle name="Normal 2 28 8" xfId="483" xr:uid="{00000000-0005-0000-0000-0000E2010000}"/>
    <cellStyle name="Normal 2 28 9" xfId="484" xr:uid="{00000000-0005-0000-0000-0000E3010000}"/>
    <cellStyle name="Normal 2 29" xfId="485" xr:uid="{00000000-0005-0000-0000-0000E4010000}"/>
    <cellStyle name="Normal 2 29 2" xfId="486" xr:uid="{00000000-0005-0000-0000-0000E5010000}"/>
    <cellStyle name="Normal 2 29 3" xfId="487" xr:uid="{00000000-0005-0000-0000-0000E6010000}"/>
    <cellStyle name="Normal 2 29 4" xfId="488" xr:uid="{00000000-0005-0000-0000-0000E7010000}"/>
    <cellStyle name="Normal 2 29 5" xfId="489" xr:uid="{00000000-0005-0000-0000-0000E8010000}"/>
    <cellStyle name="Normal 2 29 6" xfId="490" xr:uid="{00000000-0005-0000-0000-0000E9010000}"/>
    <cellStyle name="Normal 2 29 7" xfId="491" xr:uid="{00000000-0005-0000-0000-0000EA010000}"/>
    <cellStyle name="Normal 2 29 8" xfId="492" xr:uid="{00000000-0005-0000-0000-0000EB010000}"/>
    <cellStyle name="Normal 2 29 9" xfId="493" xr:uid="{00000000-0005-0000-0000-0000EC010000}"/>
    <cellStyle name="Normal 2 3" xfId="494" xr:uid="{00000000-0005-0000-0000-0000ED010000}"/>
    <cellStyle name="Normal 2 3 10" xfId="495" xr:uid="{00000000-0005-0000-0000-0000EE010000}"/>
    <cellStyle name="Normal 2 3 11" xfId="496" xr:uid="{00000000-0005-0000-0000-0000EF010000}"/>
    <cellStyle name="Normal 2 3 12" xfId="497" xr:uid="{00000000-0005-0000-0000-0000F0010000}"/>
    <cellStyle name="Normal 2 3 13" xfId="498" xr:uid="{00000000-0005-0000-0000-0000F1010000}"/>
    <cellStyle name="Normal 2 3 14" xfId="499" xr:uid="{00000000-0005-0000-0000-0000F2010000}"/>
    <cellStyle name="Normal 2 3 15" xfId="500" xr:uid="{00000000-0005-0000-0000-0000F3010000}"/>
    <cellStyle name="Normal 2 3 16" xfId="501" xr:uid="{00000000-0005-0000-0000-0000F4010000}"/>
    <cellStyle name="Normal 2 3 17" xfId="502" xr:uid="{00000000-0005-0000-0000-0000F5010000}"/>
    <cellStyle name="Normal 2 3 18" xfId="503" xr:uid="{00000000-0005-0000-0000-0000F6010000}"/>
    <cellStyle name="Normal 2 3 19" xfId="504" xr:uid="{00000000-0005-0000-0000-0000F7010000}"/>
    <cellStyle name="Normal 2 3 2" xfId="505" xr:uid="{00000000-0005-0000-0000-0000F8010000}"/>
    <cellStyle name="Normal 2 3 20" xfId="506" xr:uid="{00000000-0005-0000-0000-0000F9010000}"/>
    <cellStyle name="Normal 2 3 21" xfId="507" xr:uid="{00000000-0005-0000-0000-0000FA010000}"/>
    <cellStyle name="Normal 2 3 22" xfId="508" xr:uid="{00000000-0005-0000-0000-0000FB010000}"/>
    <cellStyle name="Normal 2 3 23" xfId="509" xr:uid="{00000000-0005-0000-0000-0000FC010000}"/>
    <cellStyle name="Normal 2 3 24" xfId="510" xr:uid="{00000000-0005-0000-0000-0000FD010000}"/>
    <cellStyle name="Normal 2 3 25" xfId="511" xr:uid="{00000000-0005-0000-0000-0000FE010000}"/>
    <cellStyle name="Normal 2 3 26" xfId="512" xr:uid="{00000000-0005-0000-0000-0000FF010000}"/>
    <cellStyle name="Normal 2 3 27" xfId="513" xr:uid="{00000000-0005-0000-0000-000000020000}"/>
    <cellStyle name="Normal 2 3 28" xfId="514" xr:uid="{00000000-0005-0000-0000-000001020000}"/>
    <cellStyle name="Normal 2 3 29" xfId="515" xr:uid="{00000000-0005-0000-0000-000002020000}"/>
    <cellStyle name="Normal 2 3 3" xfId="516" xr:uid="{00000000-0005-0000-0000-000003020000}"/>
    <cellStyle name="Normal 2 3 30" xfId="517" xr:uid="{00000000-0005-0000-0000-000004020000}"/>
    <cellStyle name="Normal 2 3 31" xfId="518" xr:uid="{00000000-0005-0000-0000-000005020000}"/>
    <cellStyle name="Normal 2 3 32" xfId="519" xr:uid="{00000000-0005-0000-0000-000006020000}"/>
    <cellStyle name="Normal 2 3 33" xfId="520" xr:uid="{00000000-0005-0000-0000-000007020000}"/>
    <cellStyle name="Normal 2 3 34" xfId="521" xr:uid="{00000000-0005-0000-0000-000008020000}"/>
    <cellStyle name="Normal 2 3 35" xfId="522" xr:uid="{00000000-0005-0000-0000-000009020000}"/>
    <cellStyle name="Normal 2 3 36" xfId="523" xr:uid="{00000000-0005-0000-0000-00000A020000}"/>
    <cellStyle name="Normal 2 3 37" xfId="524" xr:uid="{00000000-0005-0000-0000-00000B020000}"/>
    <cellStyle name="Normal 2 3 38" xfId="525" xr:uid="{00000000-0005-0000-0000-00000C020000}"/>
    <cellStyle name="Normal 2 3 39" xfId="526" xr:uid="{00000000-0005-0000-0000-00000D020000}"/>
    <cellStyle name="Normal 2 3 4" xfId="527" xr:uid="{00000000-0005-0000-0000-00000E020000}"/>
    <cellStyle name="Normal 2 3 40" xfId="528" xr:uid="{00000000-0005-0000-0000-00000F020000}"/>
    <cellStyle name="Normal 2 3 41" xfId="529" xr:uid="{00000000-0005-0000-0000-000010020000}"/>
    <cellStyle name="Normal 2 3 42" xfId="530" xr:uid="{00000000-0005-0000-0000-000011020000}"/>
    <cellStyle name="Normal 2 3 43" xfId="531" xr:uid="{00000000-0005-0000-0000-000012020000}"/>
    <cellStyle name="Normal 2 3 5" xfId="532" xr:uid="{00000000-0005-0000-0000-000013020000}"/>
    <cellStyle name="Normal 2 3 6" xfId="533" xr:uid="{00000000-0005-0000-0000-000014020000}"/>
    <cellStyle name="Normal 2 3 7" xfId="534" xr:uid="{00000000-0005-0000-0000-000015020000}"/>
    <cellStyle name="Normal 2 3 8" xfId="535" xr:uid="{00000000-0005-0000-0000-000016020000}"/>
    <cellStyle name="Normal 2 3 9" xfId="536" xr:uid="{00000000-0005-0000-0000-000017020000}"/>
    <cellStyle name="Normal 2 30" xfId="537" xr:uid="{00000000-0005-0000-0000-000018020000}"/>
    <cellStyle name="Normal 2 30 2" xfId="538" xr:uid="{00000000-0005-0000-0000-000019020000}"/>
    <cellStyle name="Normal 2 30 3" xfId="539" xr:uid="{00000000-0005-0000-0000-00001A020000}"/>
    <cellStyle name="Normal 2 30 4" xfId="540" xr:uid="{00000000-0005-0000-0000-00001B020000}"/>
    <cellStyle name="Normal 2 30 5" xfId="541" xr:uid="{00000000-0005-0000-0000-00001C020000}"/>
    <cellStyle name="Normal 2 30 6" xfId="542" xr:uid="{00000000-0005-0000-0000-00001D020000}"/>
    <cellStyle name="Normal 2 30 7" xfId="543" xr:uid="{00000000-0005-0000-0000-00001E020000}"/>
    <cellStyle name="Normal 2 30 8" xfId="544" xr:uid="{00000000-0005-0000-0000-00001F020000}"/>
    <cellStyle name="Normal 2 30 9" xfId="545" xr:uid="{00000000-0005-0000-0000-000020020000}"/>
    <cellStyle name="Normal 2 31" xfId="546" xr:uid="{00000000-0005-0000-0000-000021020000}"/>
    <cellStyle name="Normal 2 31 2" xfId="547" xr:uid="{00000000-0005-0000-0000-000022020000}"/>
    <cellStyle name="Normal 2 31 3" xfId="548" xr:uid="{00000000-0005-0000-0000-000023020000}"/>
    <cellStyle name="Normal 2 31 4" xfId="549" xr:uid="{00000000-0005-0000-0000-000024020000}"/>
    <cellStyle name="Normal 2 31 5" xfId="550" xr:uid="{00000000-0005-0000-0000-000025020000}"/>
    <cellStyle name="Normal 2 31 6" xfId="551" xr:uid="{00000000-0005-0000-0000-000026020000}"/>
    <cellStyle name="Normal 2 31 7" xfId="552" xr:uid="{00000000-0005-0000-0000-000027020000}"/>
    <cellStyle name="Normal 2 31 8" xfId="553" xr:uid="{00000000-0005-0000-0000-000028020000}"/>
    <cellStyle name="Normal 2 31 9" xfId="554" xr:uid="{00000000-0005-0000-0000-000029020000}"/>
    <cellStyle name="Normal 2 32" xfId="555" xr:uid="{00000000-0005-0000-0000-00002A020000}"/>
    <cellStyle name="Normal 2 32 2" xfId="556" xr:uid="{00000000-0005-0000-0000-00002B020000}"/>
    <cellStyle name="Normal 2 32 3" xfId="557" xr:uid="{00000000-0005-0000-0000-00002C020000}"/>
    <cellStyle name="Normal 2 32 4" xfId="558" xr:uid="{00000000-0005-0000-0000-00002D020000}"/>
    <cellStyle name="Normal 2 32 5" xfId="559" xr:uid="{00000000-0005-0000-0000-00002E020000}"/>
    <cellStyle name="Normal 2 32 6" xfId="560" xr:uid="{00000000-0005-0000-0000-00002F020000}"/>
    <cellStyle name="Normal 2 32 7" xfId="561" xr:uid="{00000000-0005-0000-0000-000030020000}"/>
    <cellStyle name="Normal 2 32 8" xfId="562" xr:uid="{00000000-0005-0000-0000-000031020000}"/>
    <cellStyle name="Normal 2 32 9" xfId="563" xr:uid="{00000000-0005-0000-0000-000032020000}"/>
    <cellStyle name="Normal 2 33" xfId="564" xr:uid="{00000000-0005-0000-0000-000033020000}"/>
    <cellStyle name="Normal 2 33 2" xfId="565" xr:uid="{00000000-0005-0000-0000-000034020000}"/>
    <cellStyle name="Normal 2 33 3" xfId="566" xr:uid="{00000000-0005-0000-0000-000035020000}"/>
    <cellStyle name="Normal 2 33 4" xfId="567" xr:uid="{00000000-0005-0000-0000-000036020000}"/>
    <cellStyle name="Normal 2 33 5" xfId="568" xr:uid="{00000000-0005-0000-0000-000037020000}"/>
    <cellStyle name="Normal 2 33 6" xfId="569" xr:uid="{00000000-0005-0000-0000-000038020000}"/>
    <cellStyle name="Normal 2 33 7" xfId="570" xr:uid="{00000000-0005-0000-0000-000039020000}"/>
    <cellStyle name="Normal 2 33 8" xfId="571" xr:uid="{00000000-0005-0000-0000-00003A020000}"/>
    <cellStyle name="Normal 2 33 9" xfId="572" xr:uid="{00000000-0005-0000-0000-00003B020000}"/>
    <cellStyle name="Normal 2 34" xfId="573" xr:uid="{00000000-0005-0000-0000-00003C020000}"/>
    <cellStyle name="Normal 2 34 2" xfId="574" xr:uid="{00000000-0005-0000-0000-00003D020000}"/>
    <cellStyle name="Normal 2 34 3" xfId="575" xr:uid="{00000000-0005-0000-0000-00003E020000}"/>
    <cellStyle name="Normal 2 34 4" xfId="576" xr:uid="{00000000-0005-0000-0000-00003F020000}"/>
    <cellStyle name="Normal 2 34 5" xfId="577" xr:uid="{00000000-0005-0000-0000-000040020000}"/>
    <cellStyle name="Normal 2 34 6" xfId="578" xr:uid="{00000000-0005-0000-0000-000041020000}"/>
    <cellStyle name="Normal 2 34 7" xfId="579" xr:uid="{00000000-0005-0000-0000-000042020000}"/>
    <cellStyle name="Normal 2 34 8" xfId="580" xr:uid="{00000000-0005-0000-0000-000043020000}"/>
    <cellStyle name="Normal 2 34 9" xfId="581" xr:uid="{00000000-0005-0000-0000-000044020000}"/>
    <cellStyle name="Normal 2 35" xfId="582" xr:uid="{00000000-0005-0000-0000-000045020000}"/>
    <cellStyle name="Normal 2 35 2" xfId="583" xr:uid="{00000000-0005-0000-0000-000046020000}"/>
    <cellStyle name="Normal 2 35 3" xfId="584" xr:uid="{00000000-0005-0000-0000-000047020000}"/>
    <cellStyle name="Normal 2 35 4" xfId="585" xr:uid="{00000000-0005-0000-0000-000048020000}"/>
    <cellStyle name="Normal 2 35 5" xfId="586" xr:uid="{00000000-0005-0000-0000-000049020000}"/>
    <cellStyle name="Normal 2 35 6" xfId="587" xr:uid="{00000000-0005-0000-0000-00004A020000}"/>
    <cellStyle name="Normal 2 35 7" xfId="588" xr:uid="{00000000-0005-0000-0000-00004B020000}"/>
    <cellStyle name="Normal 2 35 8" xfId="589" xr:uid="{00000000-0005-0000-0000-00004C020000}"/>
    <cellStyle name="Normal 2 35 9" xfId="590" xr:uid="{00000000-0005-0000-0000-00004D020000}"/>
    <cellStyle name="Normal 2 36" xfId="591" xr:uid="{00000000-0005-0000-0000-00004E020000}"/>
    <cellStyle name="Normal 2 36 2" xfId="592" xr:uid="{00000000-0005-0000-0000-00004F020000}"/>
    <cellStyle name="Normal 2 36 3" xfId="593" xr:uid="{00000000-0005-0000-0000-000050020000}"/>
    <cellStyle name="Normal 2 36 4" xfId="594" xr:uid="{00000000-0005-0000-0000-000051020000}"/>
    <cellStyle name="Normal 2 36 5" xfId="595" xr:uid="{00000000-0005-0000-0000-000052020000}"/>
    <cellStyle name="Normal 2 36 6" xfId="596" xr:uid="{00000000-0005-0000-0000-000053020000}"/>
    <cellStyle name="Normal 2 36 7" xfId="597" xr:uid="{00000000-0005-0000-0000-000054020000}"/>
    <cellStyle name="Normal 2 36 8" xfId="598" xr:uid="{00000000-0005-0000-0000-000055020000}"/>
    <cellStyle name="Normal 2 36 9" xfId="599" xr:uid="{00000000-0005-0000-0000-000056020000}"/>
    <cellStyle name="Normal 2 37" xfId="600" xr:uid="{00000000-0005-0000-0000-000057020000}"/>
    <cellStyle name="Normal 2 37 2" xfId="601" xr:uid="{00000000-0005-0000-0000-000058020000}"/>
    <cellStyle name="Normal 2 37 3" xfId="602" xr:uid="{00000000-0005-0000-0000-000059020000}"/>
    <cellStyle name="Normal 2 37 4" xfId="603" xr:uid="{00000000-0005-0000-0000-00005A020000}"/>
    <cellStyle name="Normal 2 37 5" xfId="604" xr:uid="{00000000-0005-0000-0000-00005B020000}"/>
    <cellStyle name="Normal 2 37 6" xfId="605" xr:uid="{00000000-0005-0000-0000-00005C020000}"/>
    <cellStyle name="Normal 2 37 7" xfId="606" xr:uid="{00000000-0005-0000-0000-00005D020000}"/>
    <cellStyle name="Normal 2 37 8" xfId="607" xr:uid="{00000000-0005-0000-0000-00005E020000}"/>
    <cellStyle name="Normal 2 37 9" xfId="608" xr:uid="{00000000-0005-0000-0000-00005F020000}"/>
    <cellStyle name="Normal 2 38" xfId="609" xr:uid="{00000000-0005-0000-0000-000060020000}"/>
    <cellStyle name="Normal 2 38 2" xfId="610" xr:uid="{00000000-0005-0000-0000-000061020000}"/>
    <cellStyle name="Normal 2 38 3" xfId="611" xr:uid="{00000000-0005-0000-0000-000062020000}"/>
    <cellStyle name="Normal 2 38 4" xfId="612" xr:uid="{00000000-0005-0000-0000-000063020000}"/>
    <cellStyle name="Normal 2 38 5" xfId="613" xr:uid="{00000000-0005-0000-0000-000064020000}"/>
    <cellStyle name="Normal 2 38 6" xfId="614" xr:uid="{00000000-0005-0000-0000-000065020000}"/>
    <cellStyle name="Normal 2 38 7" xfId="615" xr:uid="{00000000-0005-0000-0000-000066020000}"/>
    <cellStyle name="Normal 2 38 8" xfId="616" xr:uid="{00000000-0005-0000-0000-000067020000}"/>
    <cellStyle name="Normal 2 38 9" xfId="617" xr:uid="{00000000-0005-0000-0000-000068020000}"/>
    <cellStyle name="Normal 2 39" xfId="618" xr:uid="{00000000-0005-0000-0000-000069020000}"/>
    <cellStyle name="Normal 2 39 2" xfId="619" xr:uid="{00000000-0005-0000-0000-00006A020000}"/>
    <cellStyle name="Normal 2 39 3" xfId="620" xr:uid="{00000000-0005-0000-0000-00006B020000}"/>
    <cellStyle name="Normal 2 39 4" xfId="621" xr:uid="{00000000-0005-0000-0000-00006C020000}"/>
    <cellStyle name="Normal 2 39 5" xfId="622" xr:uid="{00000000-0005-0000-0000-00006D020000}"/>
    <cellStyle name="Normal 2 39 6" xfId="623" xr:uid="{00000000-0005-0000-0000-00006E020000}"/>
    <cellStyle name="Normal 2 39 7" xfId="624" xr:uid="{00000000-0005-0000-0000-00006F020000}"/>
    <cellStyle name="Normal 2 39 8" xfId="625" xr:uid="{00000000-0005-0000-0000-000070020000}"/>
    <cellStyle name="Normal 2 39 9" xfId="626" xr:uid="{00000000-0005-0000-0000-000071020000}"/>
    <cellStyle name="Normal 2 4" xfId="627" xr:uid="{00000000-0005-0000-0000-000072020000}"/>
    <cellStyle name="Normal 2 4 10" xfId="628" xr:uid="{00000000-0005-0000-0000-000073020000}"/>
    <cellStyle name="Normal 2 4 11" xfId="629" xr:uid="{00000000-0005-0000-0000-000074020000}"/>
    <cellStyle name="Normal 2 4 12" xfId="630" xr:uid="{00000000-0005-0000-0000-000075020000}"/>
    <cellStyle name="Normal 2 4 13" xfId="631" xr:uid="{00000000-0005-0000-0000-000076020000}"/>
    <cellStyle name="Normal 2 4 14" xfId="632" xr:uid="{00000000-0005-0000-0000-000077020000}"/>
    <cellStyle name="Normal 2 4 15" xfId="633" xr:uid="{00000000-0005-0000-0000-000078020000}"/>
    <cellStyle name="Normal 2 4 16" xfId="634" xr:uid="{00000000-0005-0000-0000-000079020000}"/>
    <cellStyle name="Normal 2 4 17" xfId="635" xr:uid="{00000000-0005-0000-0000-00007A020000}"/>
    <cellStyle name="Normal 2 4 18" xfId="636" xr:uid="{00000000-0005-0000-0000-00007B020000}"/>
    <cellStyle name="Normal 2 4 19" xfId="637" xr:uid="{00000000-0005-0000-0000-00007C020000}"/>
    <cellStyle name="Normal 2 4 2" xfId="638" xr:uid="{00000000-0005-0000-0000-00007D020000}"/>
    <cellStyle name="Normal 2 4 20" xfId="639" xr:uid="{00000000-0005-0000-0000-00007E020000}"/>
    <cellStyle name="Normal 2 4 21" xfId="640" xr:uid="{00000000-0005-0000-0000-00007F020000}"/>
    <cellStyle name="Normal 2 4 22" xfId="641" xr:uid="{00000000-0005-0000-0000-000080020000}"/>
    <cellStyle name="Normal 2 4 23" xfId="642" xr:uid="{00000000-0005-0000-0000-000081020000}"/>
    <cellStyle name="Normal 2 4 24" xfId="643" xr:uid="{00000000-0005-0000-0000-000082020000}"/>
    <cellStyle name="Normal 2 4 25" xfId="644" xr:uid="{00000000-0005-0000-0000-000083020000}"/>
    <cellStyle name="Normal 2 4 26" xfId="645" xr:uid="{00000000-0005-0000-0000-000084020000}"/>
    <cellStyle name="Normal 2 4 27" xfId="646" xr:uid="{00000000-0005-0000-0000-000085020000}"/>
    <cellStyle name="Normal 2 4 28" xfId="647" xr:uid="{00000000-0005-0000-0000-000086020000}"/>
    <cellStyle name="Normal 2 4 29" xfId="648" xr:uid="{00000000-0005-0000-0000-000087020000}"/>
    <cellStyle name="Normal 2 4 3" xfId="649" xr:uid="{00000000-0005-0000-0000-000088020000}"/>
    <cellStyle name="Normal 2 4 30" xfId="650" xr:uid="{00000000-0005-0000-0000-000089020000}"/>
    <cellStyle name="Normal 2 4 31" xfId="651" xr:uid="{00000000-0005-0000-0000-00008A020000}"/>
    <cellStyle name="Normal 2 4 32" xfId="652" xr:uid="{00000000-0005-0000-0000-00008B020000}"/>
    <cellStyle name="Normal 2 4 33" xfId="653" xr:uid="{00000000-0005-0000-0000-00008C020000}"/>
    <cellStyle name="Normal 2 4 34" xfId="654" xr:uid="{00000000-0005-0000-0000-00008D020000}"/>
    <cellStyle name="Normal 2 4 35" xfId="655" xr:uid="{00000000-0005-0000-0000-00008E020000}"/>
    <cellStyle name="Normal 2 4 36" xfId="656" xr:uid="{00000000-0005-0000-0000-00008F020000}"/>
    <cellStyle name="Normal 2 4 37" xfId="657" xr:uid="{00000000-0005-0000-0000-000090020000}"/>
    <cellStyle name="Normal 2 4 38" xfId="658" xr:uid="{00000000-0005-0000-0000-000091020000}"/>
    <cellStyle name="Normal 2 4 39" xfId="659" xr:uid="{00000000-0005-0000-0000-000092020000}"/>
    <cellStyle name="Normal 2 4 4" xfId="660" xr:uid="{00000000-0005-0000-0000-000093020000}"/>
    <cellStyle name="Normal 2 4 40" xfId="661" xr:uid="{00000000-0005-0000-0000-000094020000}"/>
    <cellStyle name="Normal 2 4 41" xfId="662" xr:uid="{00000000-0005-0000-0000-000095020000}"/>
    <cellStyle name="Normal 2 4 42" xfId="663" xr:uid="{00000000-0005-0000-0000-000096020000}"/>
    <cellStyle name="Normal 2 4 43" xfId="664" xr:uid="{00000000-0005-0000-0000-000097020000}"/>
    <cellStyle name="Normal 2 4 5" xfId="665" xr:uid="{00000000-0005-0000-0000-000098020000}"/>
    <cellStyle name="Normal 2 4 6" xfId="666" xr:uid="{00000000-0005-0000-0000-000099020000}"/>
    <cellStyle name="Normal 2 4 7" xfId="667" xr:uid="{00000000-0005-0000-0000-00009A020000}"/>
    <cellStyle name="Normal 2 4 8" xfId="668" xr:uid="{00000000-0005-0000-0000-00009B020000}"/>
    <cellStyle name="Normal 2 4 9" xfId="669" xr:uid="{00000000-0005-0000-0000-00009C020000}"/>
    <cellStyle name="Normal 2 40" xfId="670" xr:uid="{00000000-0005-0000-0000-00009D020000}"/>
    <cellStyle name="Normal 2 40 2" xfId="671" xr:uid="{00000000-0005-0000-0000-00009E020000}"/>
    <cellStyle name="Normal 2 40 3" xfId="672" xr:uid="{00000000-0005-0000-0000-00009F020000}"/>
    <cellStyle name="Normal 2 40 4" xfId="673" xr:uid="{00000000-0005-0000-0000-0000A0020000}"/>
    <cellStyle name="Normal 2 40 5" xfId="674" xr:uid="{00000000-0005-0000-0000-0000A1020000}"/>
    <cellStyle name="Normal 2 40 6" xfId="675" xr:uid="{00000000-0005-0000-0000-0000A2020000}"/>
    <cellStyle name="Normal 2 40 7" xfId="676" xr:uid="{00000000-0005-0000-0000-0000A3020000}"/>
    <cellStyle name="Normal 2 40 8" xfId="677" xr:uid="{00000000-0005-0000-0000-0000A4020000}"/>
    <cellStyle name="Normal 2 40 9" xfId="678" xr:uid="{00000000-0005-0000-0000-0000A5020000}"/>
    <cellStyle name="Normal 2 41" xfId="679" xr:uid="{00000000-0005-0000-0000-0000A6020000}"/>
    <cellStyle name="Normal 2 41 2" xfId="680" xr:uid="{00000000-0005-0000-0000-0000A7020000}"/>
    <cellStyle name="Normal 2 41 3" xfId="681" xr:uid="{00000000-0005-0000-0000-0000A8020000}"/>
    <cellStyle name="Normal 2 41 4" xfId="682" xr:uid="{00000000-0005-0000-0000-0000A9020000}"/>
    <cellStyle name="Normal 2 41 5" xfId="683" xr:uid="{00000000-0005-0000-0000-0000AA020000}"/>
    <cellStyle name="Normal 2 41 6" xfId="684" xr:uid="{00000000-0005-0000-0000-0000AB020000}"/>
    <cellStyle name="Normal 2 41 7" xfId="685" xr:uid="{00000000-0005-0000-0000-0000AC020000}"/>
    <cellStyle name="Normal 2 41 8" xfId="686" xr:uid="{00000000-0005-0000-0000-0000AD020000}"/>
    <cellStyle name="Normal 2 41 9" xfId="687" xr:uid="{00000000-0005-0000-0000-0000AE020000}"/>
    <cellStyle name="Normal 2 42" xfId="688" xr:uid="{00000000-0005-0000-0000-0000AF020000}"/>
    <cellStyle name="Normal 2 42 2" xfId="689" xr:uid="{00000000-0005-0000-0000-0000B0020000}"/>
    <cellStyle name="Normal 2 42 3" xfId="690" xr:uid="{00000000-0005-0000-0000-0000B1020000}"/>
    <cellStyle name="Normal 2 42 4" xfId="691" xr:uid="{00000000-0005-0000-0000-0000B2020000}"/>
    <cellStyle name="Normal 2 42 5" xfId="692" xr:uid="{00000000-0005-0000-0000-0000B3020000}"/>
    <cellStyle name="Normal 2 42 6" xfId="693" xr:uid="{00000000-0005-0000-0000-0000B4020000}"/>
    <cellStyle name="Normal 2 42 7" xfId="694" xr:uid="{00000000-0005-0000-0000-0000B5020000}"/>
    <cellStyle name="Normal 2 42 8" xfId="695" xr:uid="{00000000-0005-0000-0000-0000B6020000}"/>
    <cellStyle name="Normal 2 42 9" xfId="696" xr:uid="{00000000-0005-0000-0000-0000B7020000}"/>
    <cellStyle name="Normal 2 43" xfId="697" xr:uid="{00000000-0005-0000-0000-0000B8020000}"/>
    <cellStyle name="Normal 2 43 2" xfId="698" xr:uid="{00000000-0005-0000-0000-0000B9020000}"/>
    <cellStyle name="Normal 2 43 3" xfId="699" xr:uid="{00000000-0005-0000-0000-0000BA020000}"/>
    <cellStyle name="Normal 2 43 4" xfId="700" xr:uid="{00000000-0005-0000-0000-0000BB020000}"/>
    <cellStyle name="Normal 2 43 5" xfId="701" xr:uid="{00000000-0005-0000-0000-0000BC020000}"/>
    <cellStyle name="Normal 2 43 6" xfId="702" xr:uid="{00000000-0005-0000-0000-0000BD020000}"/>
    <cellStyle name="Normal 2 43 7" xfId="703" xr:uid="{00000000-0005-0000-0000-0000BE020000}"/>
    <cellStyle name="Normal 2 43 8" xfId="704" xr:uid="{00000000-0005-0000-0000-0000BF020000}"/>
    <cellStyle name="Normal 2 43 9" xfId="705" xr:uid="{00000000-0005-0000-0000-0000C0020000}"/>
    <cellStyle name="Normal 2 44" xfId="706" xr:uid="{00000000-0005-0000-0000-0000C1020000}"/>
    <cellStyle name="Normal 2 44 2" xfId="707" xr:uid="{00000000-0005-0000-0000-0000C2020000}"/>
    <cellStyle name="Normal 2 44 3" xfId="708" xr:uid="{00000000-0005-0000-0000-0000C3020000}"/>
    <cellStyle name="Normal 2 44 4" xfId="709" xr:uid="{00000000-0005-0000-0000-0000C4020000}"/>
    <cellStyle name="Normal 2 44 5" xfId="710" xr:uid="{00000000-0005-0000-0000-0000C5020000}"/>
    <cellStyle name="Normal 2 44 6" xfId="711" xr:uid="{00000000-0005-0000-0000-0000C6020000}"/>
    <cellStyle name="Normal 2 44 7" xfId="712" xr:uid="{00000000-0005-0000-0000-0000C7020000}"/>
    <cellStyle name="Normal 2 44 8" xfId="713" xr:uid="{00000000-0005-0000-0000-0000C8020000}"/>
    <cellStyle name="Normal 2 44 9" xfId="714" xr:uid="{00000000-0005-0000-0000-0000C9020000}"/>
    <cellStyle name="Normal 2 45" xfId="715" xr:uid="{00000000-0005-0000-0000-0000CA020000}"/>
    <cellStyle name="Normal 2 45 2" xfId="716" xr:uid="{00000000-0005-0000-0000-0000CB020000}"/>
    <cellStyle name="Normal 2 45 3" xfId="717" xr:uid="{00000000-0005-0000-0000-0000CC020000}"/>
    <cellStyle name="Normal 2 45 4" xfId="718" xr:uid="{00000000-0005-0000-0000-0000CD020000}"/>
    <cellStyle name="Normal 2 45 5" xfId="719" xr:uid="{00000000-0005-0000-0000-0000CE020000}"/>
    <cellStyle name="Normal 2 45 6" xfId="720" xr:uid="{00000000-0005-0000-0000-0000CF020000}"/>
    <cellStyle name="Normal 2 45 7" xfId="721" xr:uid="{00000000-0005-0000-0000-0000D0020000}"/>
    <cellStyle name="Normal 2 45 8" xfId="722" xr:uid="{00000000-0005-0000-0000-0000D1020000}"/>
    <cellStyle name="Normal 2 45 9" xfId="723" xr:uid="{00000000-0005-0000-0000-0000D2020000}"/>
    <cellStyle name="Normal 2 46" xfId="724" xr:uid="{00000000-0005-0000-0000-0000D3020000}"/>
    <cellStyle name="Normal 2 47" xfId="725" xr:uid="{00000000-0005-0000-0000-0000D4020000}"/>
    <cellStyle name="Normal 2 47 2" xfId="726" xr:uid="{00000000-0005-0000-0000-0000D5020000}"/>
    <cellStyle name="Normal 2 47 3" xfId="727" xr:uid="{00000000-0005-0000-0000-0000D6020000}"/>
    <cellStyle name="Normal 2 47 4" xfId="728" xr:uid="{00000000-0005-0000-0000-0000D7020000}"/>
    <cellStyle name="Normal 2 47 5" xfId="729" xr:uid="{00000000-0005-0000-0000-0000D8020000}"/>
    <cellStyle name="Normal 2 47 6" xfId="730" xr:uid="{00000000-0005-0000-0000-0000D9020000}"/>
    <cellStyle name="Normal 2 47 7" xfId="731" xr:uid="{00000000-0005-0000-0000-0000DA020000}"/>
    <cellStyle name="Normal 2 48" xfId="732" xr:uid="{00000000-0005-0000-0000-0000DB020000}"/>
    <cellStyle name="Normal 2 48 2" xfId="733" xr:uid="{00000000-0005-0000-0000-0000DC020000}"/>
    <cellStyle name="Normal 2 48 3" xfId="734" xr:uid="{00000000-0005-0000-0000-0000DD020000}"/>
    <cellStyle name="Normal 2 48 4" xfId="735" xr:uid="{00000000-0005-0000-0000-0000DE020000}"/>
    <cellStyle name="Normal 2 48 5" xfId="736" xr:uid="{00000000-0005-0000-0000-0000DF020000}"/>
    <cellStyle name="Normal 2 48 6" xfId="737" xr:uid="{00000000-0005-0000-0000-0000E0020000}"/>
    <cellStyle name="Normal 2 48 7" xfId="738" xr:uid="{00000000-0005-0000-0000-0000E1020000}"/>
    <cellStyle name="Normal 2 49" xfId="739" xr:uid="{00000000-0005-0000-0000-0000E2020000}"/>
    <cellStyle name="Normal 2 49 2" xfId="740" xr:uid="{00000000-0005-0000-0000-0000E3020000}"/>
    <cellStyle name="Normal 2 49 3" xfId="741" xr:uid="{00000000-0005-0000-0000-0000E4020000}"/>
    <cellStyle name="Normal 2 49 4" xfId="742" xr:uid="{00000000-0005-0000-0000-0000E5020000}"/>
    <cellStyle name="Normal 2 49 5" xfId="743" xr:uid="{00000000-0005-0000-0000-0000E6020000}"/>
    <cellStyle name="Normal 2 49 6" xfId="744" xr:uid="{00000000-0005-0000-0000-0000E7020000}"/>
    <cellStyle name="Normal 2 5" xfId="745" xr:uid="{00000000-0005-0000-0000-0000E8020000}"/>
    <cellStyle name="Normal 2 5 10" xfId="746" xr:uid="{00000000-0005-0000-0000-0000E9020000}"/>
    <cellStyle name="Normal 2 5 11" xfId="747" xr:uid="{00000000-0005-0000-0000-0000EA020000}"/>
    <cellStyle name="Normal 2 5 12" xfId="748" xr:uid="{00000000-0005-0000-0000-0000EB020000}"/>
    <cellStyle name="Normal 2 5 13" xfId="749" xr:uid="{00000000-0005-0000-0000-0000EC020000}"/>
    <cellStyle name="Normal 2 5 14" xfId="750" xr:uid="{00000000-0005-0000-0000-0000ED020000}"/>
    <cellStyle name="Normal 2 5 15" xfId="751" xr:uid="{00000000-0005-0000-0000-0000EE020000}"/>
    <cellStyle name="Normal 2 5 16" xfId="752" xr:uid="{00000000-0005-0000-0000-0000EF020000}"/>
    <cellStyle name="Normal 2 5 17" xfId="753" xr:uid="{00000000-0005-0000-0000-0000F0020000}"/>
    <cellStyle name="Normal 2 5 18" xfId="754" xr:uid="{00000000-0005-0000-0000-0000F1020000}"/>
    <cellStyle name="Normal 2 5 19" xfId="755" xr:uid="{00000000-0005-0000-0000-0000F2020000}"/>
    <cellStyle name="Normal 2 5 2" xfId="756" xr:uid="{00000000-0005-0000-0000-0000F3020000}"/>
    <cellStyle name="Normal 2 5 20" xfId="757" xr:uid="{00000000-0005-0000-0000-0000F4020000}"/>
    <cellStyle name="Normal 2 5 21" xfId="758" xr:uid="{00000000-0005-0000-0000-0000F5020000}"/>
    <cellStyle name="Normal 2 5 22" xfId="759" xr:uid="{00000000-0005-0000-0000-0000F6020000}"/>
    <cellStyle name="Normal 2 5 23" xfId="760" xr:uid="{00000000-0005-0000-0000-0000F7020000}"/>
    <cellStyle name="Normal 2 5 24" xfId="761" xr:uid="{00000000-0005-0000-0000-0000F8020000}"/>
    <cellStyle name="Normal 2 5 25" xfId="762" xr:uid="{00000000-0005-0000-0000-0000F9020000}"/>
    <cellStyle name="Normal 2 5 26" xfId="763" xr:uid="{00000000-0005-0000-0000-0000FA020000}"/>
    <cellStyle name="Normal 2 5 27" xfId="764" xr:uid="{00000000-0005-0000-0000-0000FB020000}"/>
    <cellStyle name="Normal 2 5 28" xfId="765" xr:uid="{00000000-0005-0000-0000-0000FC020000}"/>
    <cellStyle name="Normal 2 5 29" xfId="766" xr:uid="{00000000-0005-0000-0000-0000FD020000}"/>
    <cellStyle name="Normal 2 5 3" xfId="767" xr:uid="{00000000-0005-0000-0000-0000FE020000}"/>
    <cellStyle name="Normal 2 5 30" xfId="768" xr:uid="{00000000-0005-0000-0000-0000FF020000}"/>
    <cellStyle name="Normal 2 5 31" xfId="769" xr:uid="{00000000-0005-0000-0000-000000030000}"/>
    <cellStyle name="Normal 2 5 32" xfId="770" xr:uid="{00000000-0005-0000-0000-000001030000}"/>
    <cellStyle name="Normal 2 5 33" xfId="771" xr:uid="{00000000-0005-0000-0000-000002030000}"/>
    <cellStyle name="Normal 2 5 34" xfId="772" xr:uid="{00000000-0005-0000-0000-000003030000}"/>
    <cellStyle name="Normal 2 5 35" xfId="773" xr:uid="{00000000-0005-0000-0000-000004030000}"/>
    <cellStyle name="Normal 2 5 36" xfId="774" xr:uid="{00000000-0005-0000-0000-000005030000}"/>
    <cellStyle name="Normal 2 5 37" xfId="775" xr:uid="{00000000-0005-0000-0000-000006030000}"/>
    <cellStyle name="Normal 2 5 38" xfId="776" xr:uid="{00000000-0005-0000-0000-000007030000}"/>
    <cellStyle name="Normal 2 5 39" xfId="777" xr:uid="{00000000-0005-0000-0000-000008030000}"/>
    <cellStyle name="Normal 2 5 4" xfId="778" xr:uid="{00000000-0005-0000-0000-000009030000}"/>
    <cellStyle name="Normal 2 5 40" xfId="779" xr:uid="{00000000-0005-0000-0000-00000A030000}"/>
    <cellStyle name="Normal 2 5 41" xfId="780" xr:uid="{00000000-0005-0000-0000-00000B030000}"/>
    <cellStyle name="Normal 2 5 42" xfId="781" xr:uid="{00000000-0005-0000-0000-00000C030000}"/>
    <cellStyle name="Normal 2 5 43" xfId="782" xr:uid="{00000000-0005-0000-0000-00000D030000}"/>
    <cellStyle name="Normal 2 5 5" xfId="783" xr:uid="{00000000-0005-0000-0000-00000E030000}"/>
    <cellStyle name="Normal 2 5 6" xfId="784" xr:uid="{00000000-0005-0000-0000-00000F030000}"/>
    <cellStyle name="Normal 2 5 7" xfId="785" xr:uid="{00000000-0005-0000-0000-000010030000}"/>
    <cellStyle name="Normal 2 5 8" xfId="786" xr:uid="{00000000-0005-0000-0000-000011030000}"/>
    <cellStyle name="Normal 2 5 9" xfId="787" xr:uid="{00000000-0005-0000-0000-000012030000}"/>
    <cellStyle name="Normal 2 50" xfId="788" xr:uid="{00000000-0005-0000-0000-000013030000}"/>
    <cellStyle name="Normal 2 51" xfId="789" xr:uid="{00000000-0005-0000-0000-000014030000}"/>
    <cellStyle name="Normal 2 52" xfId="790" xr:uid="{00000000-0005-0000-0000-000015030000}"/>
    <cellStyle name="Normal 2 53" xfId="791" xr:uid="{00000000-0005-0000-0000-000016030000}"/>
    <cellStyle name="Normal 2 54" xfId="792" xr:uid="{00000000-0005-0000-0000-000017030000}"/>
    <cellStyle name="Normal 2 54 2" xfId="793" xr:uid="{00000000-0005-0000-0000-000018030000}"/>
    <cellStyle name="Normal 2 54 3" xfId="794" xr:uid="{00000000-0005-0000-0000-000019030000}"/>
    <cellStyle name="Normal 2 55" xfId="795" xr:uid="{00000000-0005-0000-0000-00001A030000}"/>
    <cellStyle name="Normal 2 55 2" xfId="796" xr:uid="{00000000-0005-0000-0000-00001B030000}"/>
    <cellStyle name="Normal 2 56" xfId="797" xr:uid="{00000000-0005-0000-0000-00001C030000}"/>
    <cellStyle name="Normal 2 57" xfId="798" xr:uid="{00000000-0005-0000-0000-00001D030000}"/>
    <cellStyle name="Normal 2 6" xfId="799" xr:uid="{00000000-0005-0000-0000-00001E030000}"/>
    <cellStyle name="Normal 2 6 10" xfId="800" xr:uid="{00000000-0005-0000-0000-00001F030000}"/>
    <cellStyle name="Normal 2 6 11" xfId="801" xr:uid="{00000000-0005-0000-0000-000020030000}"/>
    <cellStyle name="Normal 2 6 12" xfId="802" xr:uid="{00000000-0005-0000-0000-000021030000}"/>
    <cellStyle name="Normal 2 6 13" xfId="803" xr:uid="{00000000-0005-0000-0000-000022030000}"/>
    <cellStyle name="Normal 2 6 14" xfId="804" xr:uid="{00000000-0005-0000-0000-000023030000}"/>
    <cellStyle name="Normal 2 6 15" xfId="805" xr:uid="{00000000-0005-0000-0000-000024030000}"/>
    <cellStyle name="Normal 2 6 16" xfId="806" xr:uid="{00000000-0005-0000-0000-000025030000}"/>
    <cellStyle name="Normal 2 6 17" xfId="807" xr:uid="{00000000-0005-0000-0000-000026030000}"/>
    <cellStyle name="Normal 2 6 18" xfId="808" xr:uid="{00000000-0005-0000-0000-000027030000}"/>
    <cellStyle name="Normal 2 6 19" xfId="809" xr:uid="{00000000-0005-0000-0000-000028030000}"/>
    <cellStyle name="Normal 2 6 2" xfId="810" xr:uid="{00000000-0005-0000-0000-000029030000}"/>
    <cellStyle name="Normal 2 6 20" xfId="811" xr:uid="{00000000-0005-0000-0000-00002A030000}"/>
    <cellStyle name="Normal 2 6 21" xfId="812" xr:uid="{00000000-0005-0000-0000-00002B030000}"/>
    <cellStyle name="Normal 2 6 22" xfId="813" xr:uid="{00000000-0005-0000-0000-00002C030000}"/>
    <cellStyle name="Normal 2 6 23" xfId="814" xr:uid="{00000000-0005-0000-0000-00002D030000}"/>
    <cellStyle name="Normal 2 6 24" xfId="815" xr:uid="{00000000-0005-0000-0000-00002E030000}"/>
    <cellStyle name="Normal 2 6 25" xfId="816" xr:uid="{00000000-0005-0000-0000-00002F030000}"/>
    <cellStyle name="Normal 2 6 26" xfId="817" xr:uid="{00000000-0005-0000-0000-000030030000}"/>
    <cellStyle name="Normal 2 6 27" xfId="818" xr:uid="{00000000-0005-0000-0000-000031030000}"/>
    <cellStyle name="Normal 2 6 28" xfId="819" xr:uid="{00000000-0005-0000-0000-000032030000}"/>
    <cellStyle name="Normal 2 6 29" xfId="820" xr:uid="{00000000-0005-0000-0000-000033030000}"/>
    <cellStyle name="Normal 2 6 3" xfId="821" xr:uid="{00000000-0005-0000-0000-000034030000}"/>
    <cellStyle name="Normal 2 6 30" xfId="822" xr:uid="{00000000-0005-0000-0000-000035030000}"/>
    <cellStyle name="Normal 2 6 31" xfId="823" xr:uid="{00000000-0005-0000-0000-000036030000}"/>
    <cellStyle name="Normal 2 6 32" xfId="824" xr:uid="{00000000-0005-0000-0000-000037030000}"/>
    <cellStyle name="Normal 2 6 33" xfId="825" xr:uid="{00000000-0005-0000-0000-000038030000}"/>
    <cellStyle name="Normal 2 6 34" xfId="826" xr:uid="{00000000-0005-0000-0000-000039030000}"/>
    <cellStyle name="Normal 2 6 35" xfId="827" xr:uid="{00000000-0005-0000-0000-00003A030000}"/>
    <cellStyle name="Normal 2 6 36" xfId="828" xr:uid="{00000000-0005-0000-0000-00003B030000}"/>
    <cellStyle name="Normal 2 6 37" xfId="829" xr:uid="{00000000-0005-0000-0000-00003C030000}"/>
    <cellStyle name="Normal 2 6 38" xfId="830" xr:uid="{00000000-0005-0000-0000-00003D030000}"/>
    <cellStyle name="Normal 2 6 39" xfId="831" xr:uid="{00000000-0005-0000-0000-00003E030000}"/>
    <cellStyle name="Normal 2 6 4" xfId="832" xr:uid="{00000000-0005-0000-0000-00003F030000}"/>
    <cellStyle name="Normal 2 6 40" xfId="833" xr:uid="{00000000-0005-0000-0000-000040030000}"/>
    <cellStyle name="Normal 2 6 41" xfId="834" xr:uid="{00000000-0005-0000-0000-000041030000}"/>
    <cellStyle name="Normal 2 6 42" xfId="835" xr:uid="{00000000-0005-0000-0000-000042030000}"/>
    <cellStyle name="Normal 2 6 43" xfId="836" xr:uid="{00000000-0005-0000-0000-000043030000}"/>
    <cellStyle name="Normal 2 6 5" xfId="837" xr:uid="{00000000-0005-0000-0000-000044030000}"/>
    <cellStyle name="Normal 2 6 6" xfId="838" xr:uid="{00000000-0005-0000-0000-000045030000}"/>
    <cellStyle name="Normal 2 6 7" xfId="839" xr:uid="{00000000-0005-0000-0000-000046030000}"/>
    <cellStyle name="Normal 2 6 8" xfId="840" xr:uid="{00000000-0005-0000-0000-000047030000}"/>
    <cellStyle name="Normal 2 6 9" xfId="841" xr:uid="{00000000-0005-0000-0000-000048030000}"/>
    <cellStyle name="Normal 2 7" xfId="842" xr:uid="{00000000-0005-0000-0000-000049030000}"/>
    <cellStyle name="Normal 2 7 10" xfId="843" xr:uid="{00000000-0005-0000-0000-00004A030000}"/>
    <cellStyle name="Normal 2 7 11" xfId="844" xr:uid="{00000000-0005-0000-0000-00004B030000}"/>
    <cellStyle name="Normal 2 7 12" xfId="845" xr:uid="{00000000-0005-0000-0000-00004C030000}"/>
    <cellStyle name="Normal 2 7 13" xfId="846" xr:uid="{00000000-0005-0000-0000-00004D030000}"/>
    <cellStyle name="Normal 2 7 14" xfId="847" xr:uid="{00000000-0005-0000-0000-00004E030000}"/>
    <cellStyle name="Normal 2 7 15" xfId="848" xr:uid="{00000000-0005-0000-0000-00004F030000}"/>
    <cellStyle name="Normal 2 7 16" xfId="849" xr:uid="{00000000-0005-0000-0000-000050030000}"/>
    <cellStyle name="Normal 2 7 17" xfId="850" xr:uid="{00000000-0005-0000-0000-000051030000}"/>
    <cellStyle name="Normal 2 7 18" xfId="851" xr:uid="{00000000-0005-0000-0000-000052030000}"/>
    <cellStyle name="Normal 2 7 19" xfId="852" xr:uid="{00000000-0005-0000-0000-000053030000}"/>
    <cellStyle name="Normal 2 7 2" xfId="853" xr:uid="{00000000-0005-0000-0000-000054030000}"/>
    <cellStyle name="Normal 2 7 20" xfId="854" xr:uid="{00000000-0005-0000-0000-000055030000}"/>
    <cellStyle name="Normal 2 7 21" xfId="855" xr:uid="{00000000-0005-0000-0000-000056030000}"/>
    <cellStyle name="Normal 2 7 22" xfId="856" xr:uid="{00000000-0005-0000-0000-000057030000}"/>
    <cellStyle name="Normal 2 7 23" xfId="857" xr:uid="{00000000-0005-0000-0000-000058030000}"/>
    <cellStyle name="Normal 2 7 24" xfId="858" xr:uid="{00000000-0005-0000-0000-000059030000}"/>
    <cellStyle name="Normal 2 7 25" xfId="859" xr:uid="{00000000-0005-0000-0000-00005A030000}"/>
    <cellStyle name="Normal 2 7 26" xfId="860" xr:uid="{00000000-0005-0000-0000-00005B030000}"/>
    <cellStyle name="Normal 2 7 27" xfId="861" xr:uid="{00000000-0005-0000-0000-00005C030000}"/>
    <cellStyle name="Normal 2 7 28" xfId="862" xr:uid="{00000000-0005-0000-0000-00005D030000}"/>
    <cellStyle name="Normal 2 7 29" xfId="863" xr:uid="{00000000-0005-0000-0000-00005E030000}"/>
    <cellStyle name="Normal 2 7 3" xfId="864" xr:uid="{00000000-0005-0000-0000-00005F030000}"/>
    <cellStyle name="Normal 2 7 30" xfId="865" xr:uid="{00000000-0005-0000-0000-000060030000}"/>
    <cellStyle name="Normal 2 7 31" xfId="866" xr:uid="{00000000-0005-0000-0000-000061030000}"/>
    <cellStyle name="Normal 2 7 32" xfId="867" xr:uid="{00000000-0005-0000-0000-000062030000}"/>
    <cellStyle name="Normal 2 7 33" xfId="868" xr:uid="{00000000-0005-0000-0000-000063030000}"/>
    <cellStyle name="Normal 2 7 34" xfId="869" xr:uid="{00000000-0005-0000-0000-000064030000}"/>
    <cellStyle name="Normal 2 7 35" xfId="870" xr:uid="{00000000-0005-0000-0000-000065030000}"/>
    <cellStyle name="Normal 2 7 36" xfId="871" xr:uid="{00000000-0005-0000-0000-000066030000}"/>
    <cellStyle name="Normal 2 7 37" xfId="872" xr:uid="{00000000-0005-0000-0000-000067030000}"/>
    <cellStyle name="Normal 2 7 38" xfId="873" xr:uid="{00000000-0005-0000-0000-000068030000}"/>
    <cellStyle name="Normal 2 7 39" xfId="874" xr:uid="{00000000-0005-0000-0000-000069030000}"/>
    <cellStyle name="Normal 2 7 4" xfId="875" xr:uid="{00000000-0005-0000-0000-00006A030000}"/>
    <cellStyle name="Normal 2 7 40" xfId="876" xr:uid="{00000000-0005-0000-0000-00006B030000}"/>
    <cellStyle name="Normal 2 7 41" xfId="877" xr:uid="{00000000-0005-0000-0000-00006C030000}"/>
    <cellStyle name="Normal 2 7 42" xfId="878" xr:uid="{00000000-0005-0000-0000-00006D030000}"/>
    <cellStyle name="Normal 2 7 43" xfId="879" xr:uid="{00000000-0005-0000-0000-00006E030000}"/>
    <cellStyle name="Normal 2 7 5" xfId="880" xr:uid="{00000000-0005-0000-0000-00006F030000}"/>
    <cellStyle name="Normal 2 7 6" xfId="881" xr:uid="{00000000-0005-0000-0000-000070030000}"/>
    <cellStyle name="Normal 2 7 7" xfId="882" xr:uid="{00000000-0005-0000-0000-000071030000}"/>
    <cellStyle name="Normal 2 7 8" xfId="883" xr:uid="{00000000-0005-0000-0000-000072030000}"/>
    <cellStyle name="Normal 2 7 9" xfId="884" xr:uid="{00000000-0005-0000-0000-000073030000}"/>
    <cellStyle name="Normal 2 8" xfId="885" xr:uid="{00000000-0005-0000-0000-000074030000}"/>
    <cellStyle name="Normal 2 8 10" xfId="886" xr:uid="{00000000-0005-0000-0000-000075030000}"/>
    <cellStyle name="Normal 2 8 11" xfId="887" xr:uid="{00000000-0005-0000-0000-000076030000}"/>
    <cellStyle name="Normal 2 8 12" xfId="888" xr:uid="{00000000-0005-0000-0000-000077030000}"/>
    <cellStyle name="Normal 2 8 13" xfId="889" xr:uid="{00000000-0005-0000-0000-000078030000}"/>
    <cellStyle name="Normal 2 8 14" xfId="890" xr:uid="{00000000-0005-0000-0000-000079030000}"/>
    <cellStyle name="Normal 2 8 15" xfId="891" xr:uid="{00000000-0005-0000-0000-00007A030000}"/>
    <cellStyle name="Normal 2 8 16" xfId="892" xr:uid="{00000000-0005-0000-0000-00007B030000}"/>
    <cellStyle name="Normal 2 8 17" xfId="893" xr:uid="{00000000-0005-0000-0000-00007C030000}"/>
    <cellStyle name="Normal 2 8 18" xfId="894" xr:uid="{00000000-0005-0000-0000-00007D030000}"/>
    <cellStyle name="Normal 2 8 19" xfId="895" xr:uid="{00000000-0005-0000-0000-00007E030000}"/>
    <cellStyle name="Normal 2 8 2" xfId="896" xr:uid="{00000000-0005-0000-0000-00007F030000}"/>
    <cellStyle name="Normal 2 8 20" xfId="897" xr:uid="{00000000-0005-0000-0000-000080030000}"/>
    <cellStyle name="Normal 2 8 21" xfId="898" xr:uid="{00000000-0005-0000-0000-000081030000}"/>
    <cellStyle name="Normal 2 8 22" xfId="899" xr:uid="{00000000-0005-0000-0000-000082030000}"/>
    <cellStyle name="Normal 2 8 23" xfId="900" xr:uid="{00000000-0005-0000-0000-000083030000}"/>
    <cellStyle name="Normal 2 8 24" xfId="901" xr:uid="{00000000-0005-0000-0000-000084030000}"/>
    <cellStyle name="Normal 2 8 25" xfId="902" xr:uid="{00000000-0005-0000-0000-000085030000}"/>
    <cellStyle name="Normal 2 8 26" xfId="903" xr:uid="{00000000-0005-0000-0000-000086030000}"/>
    <cellStyle name="Normal 2 8 27" xfId="904" xr:uid="{00000000-0005-0000-0000-000087030000}"/>
    <cellStyle name="Normal 2 8 28" xfId="905" xr:uid="{00000000-0005-0000-0000-000088030000}"/>
    <cellStyle name="Normal 2 8 29" xfId="906" xr:uid="{00000000-0005-0000-0000-000089030000}"/>
    <cellStyle name="Normal 2 8 3" xfId="907" xr:uid="{00000000-0005-0000-0000-00008A030000}"/>
    <cellStyle name="Normal 2 8 30" xfId="908" xr:uid="{00000000-0005-0000-0000-00008B030000}"/>
    <cellStyle name="Normal 2 8 31" xfId="909" xr:uid="{00000000-0005-0000-0000-00008C030000}"/>
    <cellStyle name="Normal 2 8 32" xfId="910" xr:uid="{00000000-0005-0000-0000-00008D030000}"/>
    <cellStyle name="Normal 2 8 33" xfId="911" xr:uid="{00000000-0005-0000-0000-00008E030000}"/>
    <cellStyle name="Normal 2 8 34" xfId="912" xr:uid="{00000000-0005-0000-0000-00008F030000}"/>
    <cellStyle name="Normal 2 8 35" xfId="913" xr:uid="{00000000-0005-0000-0000-000090030000}"/>
    <cellStyle name="Normal 2 8 36" xfId="914" xr:uid="{00000000-0005-0000-0000-000091030000}"/>
    <cellStyle name="Normal 2 8 37" xfId="915" xr:uid="{00000000-0005-0000-0000-000092030000}"/>
    <cellStyle name="Normal 2 8 38" xfId="916" xr:uid="{00000000-0005-0000-0000-000093030000}"/>
    <cellStyle name="Normal 2 8 39" xfId="917" xr:uid="{00000000-0005-0000-0000-000094030000}"/>
    <cellStyle name="Normal 2 8 4" xfId="918" xr:uid="{00000000-0005-0000-0000-000095030000}"/>
    <cellStyle name="Normal 2 8 40" xfId="919" xr:uid="{00000000-0005-0000-0000-000096030000}"/>
    <cellStyle name="Normal 2 8 41" xfId="920" xr:uid="{00000000-0005-0000-0000-000097030000}"/>
    <cellStyle name="Normal 2 8 42" xfId="921" xr:uid="{00000000-0005-0000-0000-000098030000}"/>
    <cellStyle name="Normal 2 8 43" xfId="922" xr:uid="{00000000-0005-0000-0000-000099030000}"/>
    <cellStyle name="Normal 2 8 5" xfId="923" xr:uid="{00000000-0005-0000-0000-00009A030000}"/>
    <cellStyle name="Normal 2 8 6" xfId="924" xr:uid="{00000000-0005-0000-0000-00009B030000}"/>
    <cellStyle name="Normal 2 8 7" xfId="925" xr:uid="{00000000-0005-0000-0000-00009C030000}"/>
    <cellStyle name="Normal 2 8 8" xfId="926" xr:uid="{00000000-0005-0000-0000-00009D030000}"/>
    <cellStyle name="Normal 2 8 9" xfId="927" xr:uid="{00000000-0005-0000-0000-00009E030000}"/>
    <cellStyle name="Normal 2 9" xfId="928" xr:uid="{00000000-0005-0000-0000-00009F030000}"/>
    <cellStyle name="Normal 2 9 10" xfId="929" xr:uid="{00000000-0005-0000-0000-0000A0030000}"/>
    <cellStyle name="Normal 2 9 11" xfId="930" xr:uid="{00000000-0005-0000-0000-0000A1030000}"/>
    <cellStyle name="Normal 2 9 12" xfId="931" xr:uid="{00000000-0005-0000-0000-0000A2030000}"/>
    <cellStyle name="Normal 2 9 13" xfId="932" xr:uid="{00000000-0005-0000-0000-0000A3030000}"/>
    <cellStyle name="Normal 2 9 14" xfId="933" xr:uid="{00000000-0005-0000-0000-0000A4030000}"/>
    <cellStyle name="Normal 2 9 15" xfId="934" xr:uid="{00000000-0005-0000-0000-0000A5030000}"/>
    <cellStyle name="Normal 2 9 16" xfId="935" xr:uid="{00000000-0005-0000-0000-0000A6030000}"/>
    <cellStyle name="Normal 2 9 17" xfId="936" xr:uid="{00000000-0005-0000-0000-0000A7030000}"/>
    <cellStyle name="Normal 2 9 18" xfId="937" xr:uid="{00000000-0005-0000-0000-0000A8030000}"/>
    <cellStyle name="Normal 2 9 19" xfId="938" xr:uid="{00000000-0005-0000-0000-0000A9030000}"/>
    <cellStyle name="Normal 2 9 2" xfId="939" xr:uid="{00000000-0005-0000-0000-0000AA030000}"/>
    <cellStyle name="Normal 2 9 20" xfId="940" xr:uid="{00000000-0005-0000-0000-0000AB030000}"/>
    <cellStyle name="Normal 2 9 21" xfId="941" xr:uid="{00000000-0005-0000-0000-0000AC030000}"/>
    <cellStyle name="Normal 2 9 22" xfId="942" xr:uid="{00000000-0005-0000-0000-0000AD030000}"/>
    <cellStyle name="Normal 2 9 23" xfId="943" xr:uid="{00000000-0005-0000-0000-0000AE030000}"/>
    <cellStyle name="Normal 2 9 24" xfId="944" xr:uid="{00000000-0005-0000-0000-0000AF030000}"/>
    <cellStyle name="Normal 2 9 25" xfId="945" xr:uid="{00000000-0005-0000-0000-0000B0030000}"/>
    <cellStyle name="Normal 2 9 26" xfId="946" xr:uid="{00000000-0005-0000-0000-0000B1030000}"/>
    <cellStyle name="Normal 2 9 27" xfId="947" xr:uid="{00000000-0005-0000-0000-0000B2030000}"/>
    <cellStyle name="Normal 2 9 28" xfId="948" xr:uid="{00000000-0005-0000-0000-0000B3030000}"/>
    <cellStyle name="Normal 2 9 29" xfId="949" xr:uid="{00000000-0005-0000-0000-0000B4030000}"/>
    <cellStyle name="Normal 2 9 3" xfId="950" xr:uid="{00000000-0005-0000-0000-0000B5030000}"/>
    <cellStyle name="Normal 2 9 30" xfId="951" xr:uid="{00000000-0005-0000-0000-0000B6030000}"/>
    <cellStyle name="Normal 2 9 31" xfId="952" xr:uid="{00000000-0005-0000-0000-0000B7030000}"/>
    <cellStyle name="Normal 2 9 32" xfId="953" xr:uid="{00000000-0005-0000-0000-0000B8030000}"/>
    <cellStyle name="Normal 2 9 33" xfId="954" xr:uid="{00000000-0005-0000-0000-0000B9030000}"/>
    <cellStyle name="Normal 2 9 34" xfId="955" xr:uid="{00000000-0005-0000-0000-0000BA030000}"/>
    <cellStyle name="Normal 2 9 35" xfId="956" xr:uid="{00000000-0005-0000-0000-0000BB030000}"/>
    <cellStyle name="Normal 2 9 36" xfId="957" xr:uid="{00000000-0005-0000-0000-0000BC030000}"/>
    <cellStyle name="Normal 2 9 37" xfId="958" xr:uid="{00000000-0005-0000-0000-0000BD030000}"/>
    <cellStyle name="Normal 2 9 38" xfId="959" xr:uid="{00000000-0005-0000-0000-0000BE030000}"/>
    <cellStyle name="Normal 2 9 39" xfId="960" xr:uid="{00000000-0005-0000-0000-0000BF030000}"/>
    <cellStyle name="Normal 2 9 4" xfId="961" xr:uid="{00000000-0005-0000-0000-0000C0030000}"/>
    <cellStyle name="Normal 2 9 40" xfId="962" xr:uid="{00000000-0005-0000-0000-0000C1030000}"/>
    <cellStyle name="Normal 2 9 41" xfId="963" xr:uid="{00000000-0005-0000-0000-0000C2030000}"/>
    <cellStyle name="Normal 2 9 42" xfId="964" xr:uid="{00000000-0005-0000-0000-0000C3030000}"/>
    <cellStyle name="Normal 2 9 43" xfId="965" xr:uid="{00000000-0005-0000-0000-0000C4030000}"/>
    <cellStyle name="Normal 2 9 5" xfId="966" xr:uid="{00000000-0005-0000-0000-0000C5030000}"/>
    <cellStyle name="Normal 2 9 6" xfId="967" xr:uid="{00000000-0005-0000-0000-0000C6030000}"/>
    <cellStyle name="Normal 2 9 7" xfId="968" xr:uid="{00000000-0005-0000-0000-0000C7030000}"/>
    <cellStyle name="Normal 2 9 8" xfId="969" xr:uid="{00000000-0005-0000-0000-0000C8030000}"/>
    <cellStyle name="Normal 2 9 9" xfId="970" xr:uid="{00000000-0005-0000-0000-0000C9030000}"/>
    <cellStyle name="Normal 3" xfId="971" xr:uid="{00000000-0005-0000-0000-0000CA030000}"/>
    <cellStyle name="Normal 3 2" xfId="972" xr:uid="{00000000-0005-0000-0000-0000CB030000}"/>
    <cellStyle name="Normal 3 3" xfId="973" xr:uid="{00000000-0005-0000-0000-0000CC030000}"/>
    <cellStyle name="Normal 3 4" xfId="974" xr:uid="{00000000-0005-0000-0000-0000CD030000}"/>
    <cellStyle name="Normal 3 5" xfId="975" xr:uid="{00000000-0005-0000-0000-0000CE030000}"/>
    <cellStyle name="Normal 3 6" xfId="976" xr:uid="{00000000-0005-0000-0000-0000CF030000}"/>
    <cellStyle name="Normal 3 7" xfId="977" xr:uid="{00000000-0005-0000-0000-0000D0030000}"/>
    <cellStyle name="Normal 4" xfId="978" xr:uid="{00000000-0005-0000-0000-0000D1030000}"/>
    <cellStyle name="Normal 5" xfId="979" xr:uid="{00000000-0005-0000-0000-0000D2030000}"/>
    <cellStyle name="Normal 5 2" xfId="6" xr:uid="{00000000-0005-0000-0000-0000D3030000}"/>
    <cellStyle name="Normal 5 3" xfId="980" xr:uid="{00000000-0005-0000-0000-0000D4030000}"/>
    <cellStyle name="Normal 5 4" xfId="981" xr:uid="{00000000-0005-0000-0000-0000D5030000}"/>
    <cellStyle name="Normal 5 5" xfId="982" xr:uid="{00000000-0005-0000-0000-0000D6030000}"/>
    <cellStyle name="Normal 5 6" xfId="983" xr:uid="{00000000-0005-0000-0000-0000D7030000}"/>
    <cellStyle name="Normal 5 6 2" xfId="984" xr:uid="{00000000-0005-0000-0000-0000D8030000}"/>
    <cellStyle name="Normal 5 6 3" xfId="985" xr:uid="{00000000-0005-0000-0000-0000D9030000}"/>
    <cellStyle name="Normal 5 7" xfId="986" xr:uid="{00000000-0005-0000-0000-0000DA030000}"/>
    <cellStyle name="Normal 5 7 2" xfId="987" xr:uid="{00000000-0005-0000-0000-0000DB030000}"/>
    <cellStyle name="Normal 5 8" xfId="988" xr:uid="{00000000-0005-0000-0000-0000DC030000}"/>
    <cellStyle name="Normal 52 2" xfId="989" xr:uid="{00000000-0005-0000-0000-0000DD030000}"/>
    <cellStyle name="Normal 52 3" xfId="990" xr:uid="{00000000-0005-0000-0000-0000DE030000}"/>
    <cellStyle name="Normal 52 4" xfId="991" xr:uid="{00000000-0005-0000-0000-0000DF030000}"/>
    <cellStyle name="Normal 52 5" xfId="992" xr:uid="{00000000-0005-0000-0000-0000E0030000}"/>
    <cellStyle name="Normal 52 6" xfId="993" xr:uid="{00000000-0005-0000-0000-0000E1030000}"/>
    <cellStyle name="Normal 52 7" xfId="994" xr:uid="{00000000-0005-0000-0000-0000E2030000}"/>
    <cellStyle name="Normal 53 2" xfId="995" xr:uid="{00000000-0005-0000-0000-0000E3030000}"/>
    <cellStyle name="Normal 53 3" xfId="996" xr:uid="{00000000-0005-0000-0000-0000E4030000}"/>
    <cellStyle name="Normal 53 4" xfId="997" xr:uid="{00000000-0005-0000-0000-0000E5030000}"/>
    <cellStyle name="Normal 53 5" xfId="998" xr:uid="{00000000-0005-0000-0000-0000E6030000}"/>
    <cellStyle name="Normal 53 6" xfId="999" xr:uid="{00000000-0005-0000-0000-0000E7030000}"/>
    <cellStyle name="Normal 53 7" xfId="1000" xr:uid="{00000000-0005-0000-0000-0000E8030000}"/>
    <cellStyle name="Normal 54 2" xfId="1001" xr:uid="{00000000-0005-0000-0000-0000E9030000}"/>
    <cellStyle name="Normal 54 3" xfId="1002" xr:uid="{00000000-0005-0000-0000-0000EA030000}"/>
    <cellStyle name="Normal 54 4" xfId="1003" xr:uid="{00000000-0005-0000-0000-0000EB030000}"/>
    <cellStyle name="Normal 54 5" xfId="1004" xr:uid="{00000000-0005-0000-0000-0000EC030000}"/>
    <cellStyle name="Normal 54 6" xfId="1005" xr:uid="{00000000-0005-0000-0000-0000ED030000}"/>
    <cellStyle name="Normal 54 7" xfId="1006" xr:uid="{00000000-0005-0000-0000-0000EE030000}"/>
    <cellStyle name="Normal 55 2" xfId="1007" xr:uid="{00000000-0005-0000-0000-0000EF030000}"/>
    <cellStyle name="Normal 6 2" xfId="1008" xr:uid="{00000000-0005-0000-0000-0000F0030000}"/>
    <cellStyle name="Normal 6 3" xfId="1009" xr:uid="{00000000-0005-0000-0000-0000F1030000}"/>
    <cellStyle name="Normal 6 4" xfId="1010" xr:uid="{00000000-0005-0000-0000-0000F2030000}"/>
    <cellStyle name="Normal 7 2" xfId="1011" xr:uid="{00000000-0005-0000-0000-0000F3030000}"/>
    <cellStyle name="Nota 2 2" xfId="1012" xr:uid="{00000000-0005-0000-0000-0000F4030000}"/>
    <cellStyle name="Nota 3 2" xfId="1013" xr:uid="{00000000-0005-0000-0000-0000F5030000}"/>
    <cellStyle name="Porcentagem" xfId="1" builtinId="5"/>
    <cellStyle name="Porcentagem 2" xfId="1014" xr:uid="{00000000-0005-0000-0000-0000F7030000}"/>
    <cellStyle name="Porcentagem 2 2" xfId="1015" xr:uid="{00000000-0005-0000-0000-0000F8030000}"/>
    <cellStyle name="Porcentagem 3" xfId="1016" xr:uid="{00000000-0005-0000-0000-0000F9030000}"/>
    <cellStyle name="Saída 2 2" xfId="1017" xr:uid="{00000000-0005-0000-0000-0000FA030000}"/>
    <cellStyle name="Saída 3 2" xfId="1018" xr:uid="{00000000-0005-0000-0000-0000FB030000}"/>
    <cellStyle name="Separador de milhares 2" xfId="1019" xr:uid="{00000000-0005-0000-0000-0000FC030000}"/>
    <cellStyle name="Separador de milhares 2 2" xfId="1020" xr:uid="{00000000-0005-0000-0000-0000FD030000}"/>
    <cellStyle name="Separador de milhares 2 3" xfId="1021" xr:uid="{00000000-0005-0000-0000-0000FE030000}"/>
    <cellStyle name="Separador de milhares 2 4" xfId="1022" xr:uid="{00000000-0005-0000-0000-0000FF030000}"/>
    <cellStyle name="Separador de milhares 2 5" xfId="1023" xr:uid="{00000000-0005-0000-0000-000000040000}"/>
    <cellStyle name="Separador de milhares 2 6" xfId="1024" xr:uid="{00000000-0005-0000-0000-000001040000}"/>
    <cellStyle name="Separador de milhares 3" xfId="1025" xr:uid="{00000000-0005-0000-0000-000002040000}"/>
    <cellStyle name="Separador de milhares 4" xfId="1026" xr:uid="{00000000-0005-0000-0000-000003040000}"/>
    <cellStyle name="Separador de milhares 5" xfId="1027" xr:uid="{00000000-0005-0000-0000-000004040000}"/>
    <cellStyle name="Separador de milhares 6" xfId="1028" xr:uid="{00000000-0005-0000-0000-000005040000}"/>
    <cellStyle name="Separador de milhares 6 2" xfId="1029" xr:uid="{00000000-0005-0000-0000-000006040000}"/>
    <cellStyle name="Separador de milhares 6 3" xfId="1030" xr:uid="{00000000-0005-0000-0000-000007040000}"/>
    <cellStyle name="Separador de milhares 7" xfId="1031" xr:uid="{00000000-0005-0000-0000-000008040000}"/>
    <cellStyle name="Separador de milhares 8" xfId="1032" xr:uid="{00000000-0005-0000-0000-000009040000}"/>
    <cellStyle name="Separador de milhares 8 2" xfId="1033" xr:uid="{00000000-0005-0000-0000-00000A040000}"/>
    <cellStyle name="Style 21" xfId="1034" xr:uid="{00000000-0005-0000-0000-00000B040000}"/>
    <cellStyle name="Style 22" xfId="1035" xr:uid="{00000000-0005-0000-0000-00000C040000}"/>
    <cellStyle name="Style 23" xfId="1036" xr:uid="{00000000-0005-0000-0000-00000D040000}"/>
    <cellStyle name="Texto de Aviso 2 2" xfId="1037" xr:uid="{00000000-0005-0000-0000-00000E040000}"/>
    <cellStyle name="Texto de Aviso 3 2" xfId="1038" xr:uid="{00000000-0005-0000-0000-00000F040000}"/>
    <cellStyle name="Texto Explicativo 2 2" xfId="1039" xr:uid="{00000000-0005-0000-0000-000010040000}"/>
    <cellStyle name="Texto Explicativo 3 2" xfId="1040" xr:uid="{00000000-0005-0000-0000-000011040000}"/>
    <cellStyle name="Título 1 2 2" xfId="1041" xr:uid="{00000000-0005-0000-0000-000012040000}"/>
    <cellStyle name="Título 1 3 2" xfId="1042" xr:uid="{00000000-0005-0000-0000-000013040000}"/>
    <cellStyle name="Título 2 2 2" xfId="1043" xr:uid="{00000000-0005-0000-0000-000014040000}"/>
    <cellStyle name="Título 2 3 2" xfId="1044" xr:uid="{00000000-0005-0000-0000-000015040000}"/>
    <cellStyle name="Título 3 2 2" xfId="1045" xr:uid="{00000000-0005-0000-0000-000016040000}"/>
    <cellStyle name="Título 3 3 2" xfId="1046" xr:uid="{00000000-0005-0000-0000-000017040000}"/>
    <cellStyle name="Título 4 2 2" xfId="1047" xr:uid="{00000000-0005-0000-0000-000018040000}"/>
    <cellStyle name="Título 4 3 2" xfId="1048" xr:uid="{00000000-0005-0000-0000-000019040000}"/>
    <cellStyle name="Total 2 2" xfId="1049" xr:uid="{00000000-0005-0000-0000-00001A040000}"/>
    <cellStyle name="Total 3 2" xfId="1050" xr:uid="{00000000-0005-0000-0000-00001B040000}"/>
    <cellStyle name="Vírgula 2" xfId="1051" xr:uid="{00000000-0005-0000-0000-00001C040000}"/>
    <cellStyle name="Vírgula 3" xfId="1052" xr:uid="{00000000-0005-0000-0000-00001D040000}"/>
  </cellStyles>
  <dxfs count="12"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'Produtos Atuais'!$J$2:$J$7</c:f>
              <c:strCache>
                <c:ptCount val="6"/>
                <c:pt idx="0">
                  <c:v>MEDICUS
150 VIDAS</c:v>
                </c:pt>
                <c:pt idx="1">
                  <c:v>OPÇÕES
76 VIDAS</c:v>
                </c:pt>
                <c:pt idx="2">
                  <c:v>OPÇÕES
76 VIDAS</c:v>
                </c:pt>
                <c:pt idx="3">
                  <c:v>OPÇÕES
76 VIDAS</c:v>
                </c:pt>
                <c:pt idx="4">
                  <c:v>QUALITY
46 VIDAS</c:v>
                </c:pt>
                <c:pt idx="5">
                  <c:v>QUALITY 3
2 VIDAS</c:v>
                </c:pt>
              </c:strCache>
            </c:strRef>
          </c:cat>
          <c:val>
            <c:numRef>
              <c:f>'Produtos Atuais'!$L$2:$L$7</c:f>
              <c:numCache>
                <c:formatCode>_-"R$"* #,##0.00_-;\-"R$"* #,##0.00_-;_-"R$"* "-"??_-;_-@_-</c:formatCode>
                <c:ptCount val="6"/>
                <c:pt idx="0">
                  <c:v>61613.46</c:v>
                </c:pt>
                <c:pt idx="1">
                  <c:v>34268.380000000005</c:v>
                </c:pt>
                <c:pt idx="2">
                  <c:v>34268.380000000005</c:v>
                </c:pt>
                <c:pt idx="3">
                  <c:v>34268.380000000005</c:v>
                </c:pt>
                <c:pt idx="4">
                  <c:v>49991.19</c:v>
                </c:pt>
                <c:pt idx="5">
                  <c:v>1912.74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2-4EDA-86C7-F0E77E6E6420}"/>
            </c:ext>
          </c:extLst>
        </c:ser>
        <c:ser>
          <c:idx val="1"/>
          <c:order val="1"/>
          <c:tx>
            <c:v>Vidas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'Produtos Atuais'!$K$2:$K$7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8412-4EDA-86C7-F0E77E6E6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7767503"/>
        <c:axId val="2087767919"/>
      </c:barChart>
      <c:catAx>
        <c:axId val="208776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767919"/>
        <c:crosses val="autoZero"/>
        <c:auto val="1"/>
        <c:lblAlgn val="ctr"/>
        <c:lblOffset val="100"/>
        <c:noMultiLvlLbl val="0"/>
      </c:catAx>
      <c:valAx>
        <c:axId val="208776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* #,##0.00_-;\-&quot;R$&quot;* #,##0.00_-;_-&quot;R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76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A-4C0D-ABAE-14BCA90D38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A-4C0D-ABAE-14BCA90D38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AA-4C0D-ABAE-14BCA90D38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AA-4C0D-ABAE-14BCA90D38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AA-4C0D-ABAE-14BCA90D38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AA-4C0D-ABAE-14BCA90D3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'Produtos Atuais'!$A$2:$A$7</c:f>
              <c:strCache>
                <c:ptCount val="6"/>
                <c:pt idx="0">
                  <c:v>MEDICUS</c:v>
                </c:pt>
                <c:pt idx="1">
                  <c:v>OPÇÕES</c:v>
                </c:pt>
                <c:pt idx="2">
                  <c:v>OPÇÕES</c:v>
                </c:pt>
                <c:pt idx="3">
                  <c:v>OPÇÕES</c:v>
                </c:pt>
                <c:pt idx="4">
                  <c:v>QUALITY</c:v>
                </c:pt>
                <c:pt idx="5">
                  <c:v>QUALITY 3</c:v>
                </c:pt>
              </c:strCache>
            </c:strRef>
          </c:cat>
          <c:val>
            <c:numRef>
              <c:f>'Produtos Atuais'!$B$2:$B$7</c:f>
              <c:numCache>
                <c:formatCode>General</c:formatCode>
                <c:ptCount val="6"/>
                <c:pt idx="0">
                  <c:v>150</c:v>
                </c:pt>
                <c:pt idx="1">
                  <c:v>76</c:v>
                </c:pt>
                <c:pt idx="2">
                  <c:v>76</c:v>
                </c:pt>
                <c:pt idx="3">
                  <c:v>76</c:v>
                </c:pt>
                <c:pt idx="4">
                  <c:v>46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D-45B1-96E3-A6CF363F662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AA-4C0D-ABAE-14BCA90D38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AA-4C0D-ABAE-14BCA90D38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3AA-4C0D-ABAE-14BCA90D38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3AA-4C0D-ABAE-14BCA90D38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3AA-4C0D-ABAE-14BCA90D38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3AA-4C0D-ABAE-14BCA90D3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'Produtos Atuais'!$A$2:$A$7</c:f>
              <c:strCache>
                <c:ptCount val="6"/>
                <c:pt idx="0">
                  <c:v>MEDICUS</c:v>
                </c:pt>
                <c:pt idx="1">
                  <c:v>OPÇÕES</c:v>
                </c:pt>
                <c:pt idx="2">
                  <c:v>OPÇÕES</c:v>
                </c:pt>
                <c:pt idx="3">
                  <c:v>OPÇÕES</c:v>
                </c:pt>
                <c:pt idx="4">
                  <c:v>QUALITY</c:v>
                </c:pt>
                <c:pt idx="5">
                  <c:v>QUALITY 3</c:v>
                </c:pt>
              </c:strCache>
            </c:strRef>
          </c:cat>
          <c:val>
            <c:numRef>
              <c:f>'Produtos Atuais'!$C$2:$C$7</c:f>
              <c:numCache>
                <c:formatCode>0%</c:formatCode>
                <c:ptCount val="6"/>
                <c:pt idx="0">
                  <c:v>0.352112676056338</c:v>
                </c:pt>
                <c:pt idx="1">
                  <c:v>0.17840375586854459</c:v>
                </c:pt>
                <c:pt idx="2">
                  <c:v>0.17840375586854459</c:v>
                </c:pt>
                <c:pt idx="3">
                  <c:v>0.17840375586854459</c:v>
                </c:pt>
                <c:pt idx="4">
                  <c:v>0.107981220657277</c:v>
                </c:pt>
                <c:pt idx="5">
                  <c:v>4.6948356807511738E-3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D-45B1-96E3-A6CF363F66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97-4AE9-987C-32A405B2BB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E97-4AE9-987C-32A405B2BB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Elegibilidade!$A$6:$A$7</c:f>
              <c:strCache>
                <c:ptCount val="2"/>
                <c:pt idx="0">
                  <c:v>Funcionários</c:v>
                </c:pt>
                <c:pt idx="1">
                  <c:v>Dependentes</c:v>
                </c:pt>
              </c:strCache>
            </c:strRef>
          </c:cat>
          <c:val>
            <c:numRef>
              <c:f>Elegibilidade!$B$6:$B$7</c:f>
              <c:numCache>
                <c:formatCode>General</c:formatCode>
                <c:ptCount val="2"/>
                <c:pt idx="0">
                  <c:v>118</c:v>
                </c:pt>
                <c:pt idx="1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7-4AE9-987C-32A405B2BB6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3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9A-4C42-931A-1F1E8CF66CA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C9A-4C42-931A-1F1E8CF66CA0}"/>
              </c:ext>
            </c:extLst>
          </c:dPt>
          <c:dLbls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Elegibilidade!$A$3:$A$4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Elegibilidade!$B$3:$B$4</c:f>
              <c:numCache>
                <c:formatCode>General</c:formatCode>
                <c:ptCount val="2"/>
                <c:pt idx="0">
                  <c:v>151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A-4C42-931A-1F1E8CF66CA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'Faixa Etária'!$B$1</c:f>
              <c:strCache>
                <c:ptCount val="1"/>
                <c:pt idx="0">
                  <c:v>FUNCIONÁRIOS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'Faixa Etária'!$A$2:$A$11</c:f>
              <c:strCache>
                <c:ptCount val="10"/>
                <c:pt idx="0">
                  <c:v>00 - 18</c:v>
                </c:pt>
                <c:pt idx="1">
                  <c:v>19 - 23</c:v>
                </c:pt>
                <c:pt idx="2">
                  <c:v>24 - 28</c:v>
                </c:pt>
                <c:pt idx="3">
                  <c:v>29 - 33</c:v>
                </c:pt>
                <c:pt idx="4">
                  <c:v>34 - 38</c:v>
                </c:pt>
                <c:pt idx="5">
                  <c:v>39 - 43</c:v>
                </c:pt>
                <c:pt idx="6">
                  <c:v>44 - 48</c:v>
                </c:pt>
                <c:pt idx="7">
                  <c:v>49 - 53</c:v>
                </c:pt>
                <c:pt idx="8">
                  <c:v>54 - 58</c:v>
                </c:pt>
                <c:pt idx="9">
                  <c:v>59+</c:v>
                </c:pt>
              </c:strCache>
            </c:strRef>
          </c:cat>
          <c:val>
            <c:numRef>
              <c:f>'Faixa Etária'!$B$2:$B$11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13</c:v>
                </c:pt>
                <c:pt idx="3">
                  <c:v>19</c:v>
                </c:pt>
                <c:pt idx="4">
                  <c:v>27</c:v>
                </c:pt>
                <c:pt idx="5">
                  <c:v>14</c:v>
                </c:pt>
                <c:pt idx="6">
                  <c:v>18</c:v>
                </c:pt>
                <c:pt idx="7">
                  <c:v>10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9-4641-9F28-3F90585FA209}"/>
            </c:ext>
          </c:extLst>
        </c:ser>
        <c:ser>
          <c:idx val="1"/>
          <c:order val="1"/>
          <c:tx>
            <c:strRef>
              <c:f>'Faixa Etária'!$C$1</c:f>
              <c:strCache>
                <c:ptCount val="1"/>
                <c:pt idx="0">
                  <c:v>DEPENDENTES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'Faixa Etária'!$A$2:$A$11</c:f>
              <c:strCache>
                <c:ptCount val="10"/>
                <c:pt idx="0">
                  <c:v>00 - 18</c:v>
                </c:pt>
                <c:pt idx="1">
                  <c:v>19 - 23</c:v>
                </c:pt>
                <c:pt idx="2">
                  <c:v>24 - 28</c:v>
                </c:pt>
                <c:pt idx="3">
                  <c:v>29 - 33</c:v>
                </c:pt>
                <c:pt idx="4">
                  <c:v>34 - 38</c:v>
                </c:pt>
                <c:pt idx="5">
                  <c:v>39 - 43</c:v>
                </c:pt>
                <c:pt idx="6">
                  <c:v>44 - 48</c:v>
                </c:pt>
                <c:pt idx="7">
                  <c:v>49 - 53</c:v>
                </c:pt>
                <c:pt idx="8">
                  <c:v>54 - 58</c:v>
                </c:pt>
                <c:pt idx="9">
                  <c:v>59+</c:v>
                </c:pt>
              </c:strCache>
            </c:strRef>
          </c:cat>
          <c:val>
            <c:numRef>
              <c:f>'Faixa Etária'!$C$2:$C$11</c:f>
              <c:numCache>
                <c:formatCode>General</c:formatCode>
                <c:ptCount val="10"/>
                <c:pt idx="0">
                  <c:v>72</c:v>
                </c:pt>
                <c:pt idx="1">
                  <c:v>8</c:v>
                </c:pt>
                <c:pt idx="2">
                  <c:v>5</c:v>
                </c:pt>
                <c:pt idx="3">
                  <c:v>8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7</c:v>
                </c:pt>
                <c:pt idx="8">
                  <c:v>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9-4641-9F28-3F90585FA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2770352"/>
        <c:axId val="532782000"/>
      </c:barChart>
      <c:catAx>
        <c:axId val="53277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782000"/>
        <c:crosses val="autoZero"/>
        <c:auto val="1"/>
        <c:lblAlgn val="ctr"/>
        <c:lblOffset val="100"/>
        <c:noMultiLvlLbl val="0"/>
      </c:catAx>
      <c:valAx>
        <c:axId val="5327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77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'Impacto Financeiro CC'!$B$1:$G$1</c:f>
              <c:strCache>
                <c:ptCount val="6"/>
                <c:pt idx="0">
                  <c:v>Amil</c:v>
                </c:pt>
                <c:pt idx="1">
                  <c:v>Reajuste 20%</c:v>
                </c:pt>
                <c:pt idx="2">
                  <c:v>Player I</c:v>
                </c:pt>
                <c:pt idx="3">
                  <c:v>Player II</c:v>
                </c:pt>
                <c:pt idx="4">
                  <c:v>Player III</c:v>
                </c:pt>
                <c:pt idx="5">
                  <c:v>Player IV</c:v>
                </c:pt>
              </c:strCache>
            </c:strRef>
          </c:cat>
          <c:val>
            <c:numRef>
              <c:f>'Impacto Financeiro CC'!$B$5:$G$5</c:f>
              <c:numCache>
                <c:formatCode>"R$"#,##0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2-416A-B076-8BF280652D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69136"/>
        <c:axId val="80971632"/>
      </c:barChart>
      <c:catAx>
        <c:axId val="8096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71632"/>
        <c:crosses val="autoZero"/>
        <c:auto val="1"/>
        <c:lblAlgn val="ctr"/>
        <c:lblOffset val="100"/>
        <c:noMultiLvlLbl val="0"/>
      </c:catAx>
      <c:valAx>
        <c:axId val="809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6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'Impacto Financeiro SC'!$B$1:$G$1</c:f>
              <c:strCache>
                <c:ptCount val="6"/>
                <c:pt idx="0">
                  <c:v>Amil</c:v>
                </c:pt>
                <c:pt idx="1">
                  <c:v>Reajuste 20%</c:v>
                </c:pt>
                <c:pt idx="2">
                  <c:v>Player I</c:v>
                </c:pt>
                <c:pt idx="3">
                  <c:v>Player II</c:v>
                </c:pt>
                <c:pt idx="4">
                  <c:v>Player III</c:v>
                </c:pt>
                <c:pt idx="5">
                  <c:v>Player IV</c:v>
                </c:pt>
              </c:strCache>
            </c:strRef>
          </c:cat>
          <c:val>
            <c:numRef>
              <c:f>'Impacto Financeiro SC'!$B$5:$G$5</c:f>
              <c:numCache>
                <c:formatCode>"R$"#,##0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9-4808-A66C-58F54C0209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69136"/>
        <c:axId val="80971632"/>
      </c:barChart>
      <c:catAx>
        <c:axId val="8096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71632"/>
        <c:crosses val="autoZero"/>
        <c:auto val="1"/>
        <c:lblAlgn val="ctr"/>
        <c:lblOffset val="100"/>
        <c:noMultiLvlLbl val="0"/>
      </c:catAx>
      <c:valAx>
        <c:axId val="809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6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9</xdr:row>
      <xdr:rowOff>19050</xdr:rowOff>
    </xdr:from>
    <xdr:to>
      <xdr:col>15</xdr:col>
      <xdr:colOff>266700</xdr:colOff>
      <xdr:row>23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9</xdr:row>
      <xdr:rowOff>14287</xdr:rowOff>
    </xdr:from>
    <xdr:to>
      <xdr:col>6</xdr:col>
      <xdr:colOff>762000</xdr:colOff>
      <xdr:row>23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BEAB6B-C0EE-497A-A13F-C4A4E5D74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158115</xdr:colOff>
      <xdr:row>8</xdr:row>
      <xdr:rowOff>118110</xdr:rowOff>
    </xdr:from>
    <xdr:to>
      <xdr:col>4</xdr:col>
      <xdr:colOff>481965</xdr:colOff>
      <xdr:row>21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400050</xdr:colOff>
      <xdr:row>7</xdr:row>
      <xdr:rowOff>171450</xdr:rowOff>
    </xdr:from>
    <xdr:to>
      <xdr:col>13</xdr:col>
      <xdr:colOff>95250</xdr:colOff>
      <xdr:row>22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4</xdr:row>
      <xdr:rowOff>152399</xdr:rowOff>
    </xdr:from>
    <xdr:to>
      <xdr:col>13</xdr:col>
      <xdr:colOff>228600</xdr:colOff>
      <xdr:row>22</xdr:row>
      <xdr:rowOff>9524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8</xdr:row>
      <xdr:rowOff>193221</xdr:rowOff>
    </xdr:from>
    <xdr:to>
      <xdr:col>7</xdr:col>
      <xdr:colOff>149678</xdr:colOff>
      <xdr:row>19</xdr:row>
      <xdr:rowOff>68036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8</xdr:row>
      <xdr:rowOff>193221</xdr:rowOff>
    </xdr:from>
    <xdr:to>
      <xdr:col>7</xdr:col>
      <xdr:colOff>149678</xdr:colOff>
      <xdr:row>19</xdr:row>
      <xdr:rowOff>68036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showGridLines="0" tabSelected="1" workbookViewId="0">
      <selection activeCell="J7" sqref="J7:K7"/>
    </sheetView>
  </sheetViews>
  <sheetFormatPr defaultRowHeight="15" x14ac:dyDescent="0.25"/>
  <cols>
    <col min="1" max="1" width="11" bestFit="1" customWidth="1"/>
    <col min="2" max="2" width="8.28515625" bestFit="1" customWidth="1"/>
    <col min="3" max="3" width="12" customWidth="1"/>
    <col min="5" max="5" width="11" bestFit="1" customWidth="1"/>
    <col min="6" max="6" width="8.28515625" bestFit="1" customWidth="1"/>
    <col min="7" max="7" width="12" customWidth="1"/>
    <col min="10" max="10" width="16.42578125" customWidth="1"/>
    <col min="11" max="11" width="14.42578125" customWidth="1"/>
    <col min="12" max="12" width="13.42578125" bestFit="1" customWidth="1"/>
  </cols>
  <sheetData>
    <row r="1" spans="1:12" x14ac:dyDescent="0.25">
      <c r="A1" s="1" t="s">
        <v>0</v>
      </c>
      <c r="B1" s="2" t="s">
        <v>1</v>
      </c>
      <c r="C1" s="3" t="s">
        <v>2</v>
      </c>
      <c r="J1" s="7" t="s">
        <v>0</v>
      </c>
      <c r="K1" s="11" t="s">
        <v>1</v>
      </c>
      <c r="L1" s="8" t="s">
        <v>4</v>
      </c>
    </row>
    <row r="2" spans="1:12" s="28" customFormat="1" ht="27" customHeight="1" x14ac:dyDescent="0.25">
      <c r="A2" s="25" t="s">
        <v>5</v>
      </c>
      <c r="B2" s="26">
        <v>150</v>
      </c>
      <c r="C2" s="27">
        <f t="shared" ref="C2:C7" si="0">B2/$B$8</f>
        <v>0.352112676056338</v>
      </c>
      <c r="J2" s="57" t="str">
        <f t="shared" ref="J2:J7" si="1">CONCATENATE(A2,CHAR(10),B2," VIDAS")</f>
        <v>MEDICUS
150 VIDAS</v>
      </c>
      <c r="K2" s="58"/>
      <c r="L2" s="29">
        <v>61613.46</v>
      </c>
    </row>
    <row r="3" spans="1:12" s="28" customFormat="1" ht="27" customHeight="1" x14ac:dyDescent="0.25">
      <c r="A3" s="25" t="s">
        <v>6</v>
      </c>
      <c r="B3" s="26">
        <v>76</v>
      </c>
      <c r="C3" s="27">
        <f t="shared" si="0"/>
        <v>0.17840375586854459</v>
      </c>
      <c r="J3" s="57" t="str">
        <f t="shared" si="1"/>
        <v>OPÇÕES
76 VIDAS</v>
      </c>
      <c r="K3" s="58"/>
      <c r="L3" s="29">
        <v>34268.380000000005</v>
      </c>
    </row>
    <row r="4" spans="1:12" s="28" customFormat="1" ht="27" customHeight="1" x14ac:dyDescent="0.25">
      <c r="A4" s="25" t="s">
        <v>6</v>
      </c>
      <c r="B4" s="26">
        <v>76</v>
      </c>
      <c r="C4" s="27">
        <f t="shared" si="0"/>
        <v>0.17840375586854459</v>
      </c>
      <c r="J4" s="57" t="str">
        <f t="shared" si="1"/>
        <v>OPÇÕES
76 VIDAS</v>
      </c>
      <c r="K4" s="58"/>
      <c r="L4" s="29">
        <v>34268.380000000005</v>
      </c>
    </row>
    <row r="5" spans="1:12" s="28" customFormat="1" ht="27" customHeight="1" x14ac:dyDescent="0.25">
      <c r="A5" s="25" t="s">
        <v>6</v>
      </c>
      <c r="B5" s="26">
        <v>76</v>
      </c>
      <c r="C5" s="27">
        <f t="shared" si="0"/>
        <v>0.17840375586854459</v>
      </c>
      <c r="J5" s="57" t="str">
        <f t="shared" si="1"/>
        <v>OPÇÕES
76 VIDAS</v>
      </c>
      <c r="K5" s="58"/>
      <c r="L5" s="29">
        <v>34268.380000000005</v>
      </c>
    </row>
    <row r="6" spans="1:12" s="28" customFormat="1" ht="27" customHeight="1" x14ac:dyDescent="0.25">
      <c r="A6" s="25" t="s">
        <v>7</v>
      </c>
      <c r="B6" s="26">
        <v>46</v>
      </c>
      <c r="C6" s="27">
        <f t="shared" si="0"/>
        <v>0.107981220657277</v>
      </c>
      <c r="J6" s="57" t="str">
        <f t="shared" si="1"/>
        <v>QUALITY
46 VIDAS</v>
      </c>
      <c r="K6" s="58"/>
      <c r="L6" s="29">
        <v>49991.19</v>
      </c>
    </row>
    <row r="7" spans="1:12" s="28" customFormat="1" ht="27" customHeight="1" x14ac:dyDescent="0.25">
      <c r="A7" s="25" t="s">
        <v>8</v>
      </c>
      <c r="B7" s="26">
        <v>2</v>
      </c>
      <c r="C7" s="27">
        <f t="shared" si="0"/>
        <v>4.6948356807511738E-3</v>
      </c>
      <c r="J7" s="57" t="str">
        <f t="shared" si="1"/>
        <v>QUALITY 3
2 VIDAS</v>
      </c>
      <c r="K7" s="58"/>
      <c r="L7" s="29">
        <v>1912.74</v>
      </c>
    </row>
    <row r="8" spans="1:12" x14ac:dyDescent="0.25">
      <c r="A8" s="4" t="s">
        <v>3</v>
      </c>
      <c r="B8" s="5">
        <f>SUM(B2:B7)</f>
        <v>426</v>
      </c>
      <c r="C8" s="6">
        <f>SUM(C2:C7)</f>
        <v>1</v>
      </c>
      <c r="J8" s="9" t="s">
        <v>3</v>
      </c>
      <c r="K8" s="12">
        <f>SUM(K2:K7)</f>
        <v>0</v>
      </c>
      <c r="L8" s="10">
        <f>SUM(L2:L7)</f>
        <v>216322.53</v>
      </c>
    </row>
  </sheetData>
  <mergeCells count="6">
    <mergeCell ref="J2:K2"/>
    <mergeCell ref="J5:K5"/>
    <mergeCell ref="J6:K6"/>
    <mergeCell ref="J7:K7"/>
    <mergeCell ref="J4:K4"/>
    <mergeCell ref="J3:K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L16" sqref="L16"/>
    </sheetView>
  </sheetViews>
  <sheetFormatPr defaultRowHeight="15" x14ac:dyDescent="0.25"/>
  <cols>
    <col min="1" max="2" width="20.7109375" customWidth="1"/>
  </cols>
  <sheetData>
    <row r="1" spans="1:2" ht="15.75" thickBot="1" x14ac:dyDescent="0.3">
      <c r="A1" s="13" t="s">
        <v>47</v>
      </c>
      <c r="B1" s="14" t="s">
        <v>1</v>
      </c>
    </row>
    <row r="2" spans="1:2" x14ac:dyDescent="0.25">
      <c r="A2" s="30" t="s">
        <v>9</v>
      </c>
      <c r="B2" s="31">
        <f>SUM(B3:B4)</f>
        <v>276</v>
      </c>
    </row>
    <row r="3" spans="1:2" x14ac:dyDescent="0.25">
      <c r="A3" s="32" t="s">
        <v>12</v>
      </c>
      <c r="B3" s="33">
        <v>151</v>
      </c>
    </row>
    <row r="4" spans="1:2" ht="15.75" thickBot="1" x14ac:dyDescent="0.3">
      <c r="A4" s="34" t="s">
        <v>13</v>
      </c>
      <c r="B4" s="35">
        <v>125</v>
      </c>
    </row>
    <row r="5" spans="1:2" ht="5.25" customHeight="1" thickBot="1" x14ac:dyDescent="0.3"/>
    <row r="6" spans="1:2" x14ac:dyDescent="0.25">
      <c r="A6" s="30" t="s">
        <v>10</v>
      </c>
      <c r="B6" s="31">
        <v>118</v>
      </c>
    </row>
    <row r="7" spans="1:2" ht="15.75" thickBot="1" x14ac:dyDescent="0.3">
      <c r="A7" s="34" t="s">
        <v>11</v>
      </c>
      <c r="B7" s="35">
        <v>158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>
      <selection activeCell="L13" sqref="L13"/>
    </sheetView>
  </sheetViews>
  <sheetFormatPr defaultColWidth="9.140625" defaultRowHeight="15" x14ac:dyDescent="0.25"/>
  <cols>
    <col min="1" max="1" width="6.5703125" bestFit="1" customWidth="1"/>
    <col min="2" max="2" width="14.85546875" bestFit="1" customWidth="1"/>
    <col min="3" max="3" width="13.7109375" bestFit="1" customWidth="1"/>
  </cols>
  <sheetData>
    <row r="1" spans="1:3" x14ac:dyDescent="0.25">
      <c r="B1" s="23" t="s">
        <v>24</v>
      </c>
      <c r="C1" s="23" t="s">
        <v>25</v>
      </c>
    </row>
    <row r="2" spans="1:3" x14ac:dyDescent="0.25">
      <c r="A2" t="s">
        <v>14</v>
      </c>
      <c r="B2" s="24">
        <v>1</v>
      </c>
      <c r="C2" s="24">
        <v>72</v>
      </c>
    </row>
    <row r="3" spans="1:3" x14ac:dyDescent="0.25">
      <c r="A3" t="s">
        <v>15</v>
      </c>
      <c r="B3" s="24">
        <v>10</v>
      </c>
      <c r="C3" s="24">
        <v>8</v>
      </c>
    </row>
    <row r="4" spans="1:3" x14ac:dyDescent="0.25">
      <c r="A4" t="s">
        <v>16</v>
      </c>
      <c r="B4" s="24">
        <v>13</v>
      </c>
      <c r="C4" s="24">
        <v>5</v>
      </c>
    </row>
    <row r="5" spans="1:3" x14ac:dyDescent="0.25">
      <c r="A5" t="s">
        <v>17</v>
      </c>
      <c r="B5" s="24">
        <v>19</v>
      </c>
      <c r="C5" s="24">
        <v>8</v>
      </c>
    </row>
    <row r="6" spans="1:3" x14ac:dyDescent="0.25">
      <c r="A6" t="s">
        <v>18</v>
      </c>
      <c r="B6" s="24">
        <v>27</v>
      </c>
      <c r="C6" s="24">
        <v>15</v>
      </c>
    </row>
    <row r="7" spans="1:3" x14ac:dyDescent="0.25">
      <c r="A7" t="s">
        <v>19</v>
      </c>
      <c r="B7" s="24">
        <v>14</v>
      </c>
      <c r="C7" s="24">
        <v>21</v>
      </c>
    </row>
    <row r="8" spans="1:3" x14ac:dyDescent="0.25">
      <c r="A8" t="s">
        <v>20</v>
      </c>
      <c r="B8" s="24">
        <v>18</v>
      </c>
      <c r="C8" s="24">
        <v>14</v>
      </c>
    </row>
    <row r="9" spans="1:3" x14ac:dyDescent="0.25">
      <c r="A9" t="s">
        <v>21</v>
      </c>
      <c r="B9" s="24">
        <v>10</v>
      </c>
      <c r="C9" s="24">
        <v>7</v>
      </c>
    </row>
    <row r="10" spans="1:3" x14ac:dyDescent="0.25">
      <c r="A10" t="s">
        <v>22</v>
      </c>
      <c r="B10" s="24">
        <v>3</v>
      </c>
      <c r="C10" s="24">
        <v>1</v>
      </c>
    </row>
    <row r="11" spans="1:3" x14ac:dyDescent="0.25">
      <c r="A11" t="s">
        <v>23</v>
      </c>
      <c r="B11" s="24">
        <v>3</v>
      </c>
      <c r="C11" s="24">
        <v>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"/>
  <sheetViews>
    <sheetView showGridLines="0" zoomScale="60" zoomScaleNormal="60" zoomScaleSheetLayoutView="70" workbookViewId="0">
      <selection activeCell="F1" sqref="F1"/>
    </sheetView>
  </sheetViews>
  <sheetFormatPr defaultColWidth="9.140625" defaultRowHeight="21" x14ac:dyDescent="0.45"/>
  <cols>
    <col min="1" max="1" width="37.28515625" style="15" bestFit="1" customWidth="1"/>
    <col min="2" max="4" width="36.5703125" style="16" customWidth="1"/>
    <col min="5" max="5" width="34.7109375" style="16" customWidth="1"/>
    <col min="6" max="6" width="31.85546875" style="16" customWidth="1"/>
    <col min="7" max="16384" width="9.140625" style="15"/>
  </cols>
  <sheetData>
    <row r="1" spans="1:16" x14ac:dyDescent="0.45">
      <c r="A1" s="48"/>
      <c r="B1" s="49" t="s">
        <v>46</v>
      </c>
      <c r="C1" s="49" t="s">
        <v>26</v>
      </c>
      <c r="D1" s="49" t="s">
        <v>27</v>
      </c>
      <c r="E1" s="49" t="s">
        <v>28</v>
      </c>
      <c r="F1" s="49" t="s">
        <v>29</v>
      </c>
      <c r="O1" s="17" t="s">
        <v>30</v>
      </c>
      <c r="P1" s="17" t="s">
        <v>31</v>
      </c>
    </row>
    <row r="2" spans="1:16" x14ac:dyDescent="0.45">
      <c r="A2" s="48"/>
      <c r="B2" s="49"/>
      <c r="C2" s="49"/>
      <c r="D2" s="49"/>
      <c r="E2" s="49"/>
      <c r="F2" s="49"/>
    </row>
    <row r="3" spans="1:16" ht="24.75" x14ac:dyDescent="0.45">
      <c r="A3" s="50" t="s">
        <v>32</v>
      </c>
      <c r="B3" s="51" t="s">
        <v>57</v>
      </c>
      <c r="C3" s="51" t="s">
        <v>32</v>
      </c>
      <c r="D3" s="51" t="s">
        <v>32</v>
      </c>
      <c r="E3" s="51" t="s">
        <v>32</v>
      </c>
      <c r="F3" s="51" t="s">
        <v>32</v>
      </c>
    </row>
    <row r="4" spans="1:16" ht="24.75" x14ac:dyDescent="0.45">
      <c r="A4" s="50" t="s">
        <v>33</v>
      </c>
      <c r="B4" s="56"/>
      <c r="C4" s="56"/>
      <c r="D4" s="56"/>
      <c r="E4" s="56"/>
      <c r="F4" s="56"/>
    </row>
    <row r="5" spans="1:16" ht="24.75" x14ac:dyDescent="0.45">
      <c r="A5" s="50" t="s">
        <v>34</v>
      </c>
      <c r="B5" s="56"/>
      <c r="C5" s="56"/>
      <c r="D5" s="56"/>
      <c r="E5" s="56"/>
      <c r="F5" s="56"/>
    </row>
    <row r="6" spans="1:16" ht="24.75" x14ac:dyDescent="0.45">
      <c r="A6" s="50" t="s">
        <v>67</v>
      </c>
      <c r="B6" s="52" t="s">
        <v>35</v>
      </c>
      <c r="C6" s="52" t="s">
        <v>35</v>
      </c>
      <c r="D6" s="52" t="s">
        <v>35</v>
      </c>
      <c r="E6" s="52" t="s">
        <v>35</v>
      </c>
      <c r="F6" s="52" t="s">
        <v>35</v>
      </c>
    </row>
    <row r="7" spans="1:16" ht="3.75" customHeight="1" x14ac:dyDescent="0.45">
      <c r="A7" s="50"/>
      <c r="B7" s="53"/>
      <c r="C7" s="53"/>
      <c r="D7" s="53"/>
      <c r="E7" s="53"/>
      <c r="F7" s="53"/>
    </row>
    <row r="8" spans="1:16" ht="24.75" x14ac:dyDescent="0.45">
      <c r="A8" s="50" t="s">
        <v>32</v>
      </c>
      <c r="B8" s="51" t="s">
        <v>58</v>
      </c>
      <c r="C8" s="51" t="s">
        <v>32</v>
      </c>
      <c r="D8" s="51" t="s">
        <v>32</v>
      </c>
      <c r="E8" s="51" t="s">
        <v>32</v>
      </c>
      <c r="F8" s="51" t="s">
        <v>32</v>
      </c>
    </row>
    <row r="9" spans="1:16" ht="24.75" x14ac:dyDescent="0.45">
      <c r="A9" s="50" t="s">
        <v>36</v>
      </c>
      <c r="B9" s="56"/>
      <c r="C9" s="56"/>
      <c r="D9" s="56"/>
      <c r="E9" s="56"/>
      <c r="F9" s="56"/>
    </row>
    <row r="10" spans="1:16" ht="24.75" x14ac:dyDescent="0.45">
      <c r="A10" s="50" t="s">
        <v>34</v>
      </c>
      <c r="B10" s="56"/>
      <c r="C10" s="56"/>
      <c r="D10" s="56"/>
      <c r="E10" s="56"/>
      <c r="F10" s="56"/>
    </row>
    <row r="11" spans="1:16" ht="24.75" x14ac:dyDescent="0.45">
      <c r="A11" s="50" t="s">
        <v>67</v>
      </c>
      <c r="B11" s="52" t="s">
        <v>35</v>
      </c>
      <c r="C11" s="52" t="s">
        <v>35</v>
      </c>
      <c r="D11" s="52" t="s">
        <v>35</v>
      </c>
      <c r="E11" s="52" t="s">
        <v>35</v>
      </c>
      <c r="F11" s="52" t="s">
        <v>35</v>
      </c>
    </row>
    <row r="12" spans="1:16" ht="3" customHeight="1" x14ac:dyDescent="0.45">
      <c r="A12" s="50"/>
      <c r="B12" s="53"/>
      <c r="C12" s="53"/>
      <c r="D12" s="53"/>
      <c r="E12" s="53"/>
      <c r="F12" s="53"/>
    </row>
    <row r="13" spans="1:16" ht="24.75" x14ac:dyDescent="0.45">
      <c r="A13" s="50" t="s">
        <v>32</v>
      </c>
      <c r="B13" s="51" t="s">
        <v>59</v>
      </c>
      <c r="C13" s="51" t="s">
        <v>32</v>
      </c>
      <c r="D13" s="51" t="s">
        <v>32</v>
      </c>
      <c r="E13" s="51" t="s">
        <v>32</v>
      </c>
      <c r="F13" s="51" t="s">
        <v>32</v>
      </c>
    </row>
    <row r="14" spans="1:16" ht="24.75" x14ac:dyDescent="0.45">
      <c r="A14" s="50" t="s">
        <v>33</v>
      </c>
      <c r="B14" s="56"/>
      <c r="C14" s="56"/>
      <c r="D14" s="56"/>
      <c r="E14" s="56"/>
      <c r="F14" s="56"/>
    </row>
    <row r="15" spans="1:16" ht="24.75" x14ac:dyDescent="0.45">
      <c r="A15" s="50" t="s">
        <v>34</v>
      </c>
      <c r="B15" s="56"/>
      <c r="C15" s="56"/>
      <c r="D15" s="56"/>
      <c r="E15" s="56"/>
      <c r="F15" s="56"/>
    </row>
    <row r="16" spans="1:16" ht="24.75" x14ac:dyDescent="0.45">
      <c r="A16" s="50" t="s">
        <v>67</v>
      </c>
      <c r="B16" s="52" t="s">
        <v>35</v>
      </c>
      <c r="C16" s="52" t="s">
        <v>35</v>
      </c>
      <c r="D16" s="52" t="s">
        <v>35</v>
      </c>
      <c r="E16" s="52" t="s">
        <v>35</v>
      </c>
      <c r="F16" s="52" t="s">
        <v>35</v>
      </c>
    </row>
    <row r="17" spans="1:6" ht="3" customHeight="1" x14ac:dyDescent="0.45">
      <c r="A17" s="50"/>
      <c r="B17" s="53"/>
      <c r="C17" s="53"/>
      <c r="D17" s="53"/>
      <c r="E17" s="53"/>
      <c r="F17" s="53"/>
    </row>
    <row r="18" spans="1:6" ht="24.75" x14ac:dyDescent="0.45">
      <c r="A18" s="50" t="s">
        <v>32</v>
      </c>
      <c r="B18" s="51" t="s">
        <v>60</v>
      </c>
      <c r="C18" s="51" t="s">
        <v>32</v>
      </c>
      <c r="D18" s="51" t="s">
        <v>32</v>
      </c>
      <c r="E18" s="51" t="s">
        <v>32</v>
      </c>
      <c r="F18" s="51" t="s">
        <v>32</v>
      </c>
    </row>
    <row r="19" spans="1:6" ht="24.75" x14ac:dyDescent="0.45">
      <c r="A19" s="50" t="s">
        <v>36</v>
      </c>
      <c r="B19" s="56"/>
      <c r="C19" s="56"/>
      <c r="D19" s="56"/>
      <c r="E19" s="56"/>
      <c r="F19" s="56"/>
    </row>
    <row r="20" spans="1:6" ht="24.75" x14ac:dyDescent="0.45">
      <c r="A20" s="50" t="s">
        <v>34</v>
      </c>
      <c r="B20" s="56"/>
      <c r="C20" s="56"/>
      <c r="D20" s="56"/>
      <c r="E20" s="56"/>
      <c r="F20" s="56"/>
    </row>
    <row r="21" spans="1:6" ht="24.75" x14ac:dyDescent="0.45">
      <c r="A21" s="50" t="s">
        <v>67</v>
      </c>
      <c r="B21" s="52" t="s">
        <v>35</v>
      </c>
      <c r="C21" s="52" t="s">
        <v>35</v>
      </c>
      <c r="D21" s="52" t="s">
        <v>35</v>
      </c>
      <c r="E21" s="52" t="s">
        <v>35</v>
      </c>
      <c r="F21" s="52" t="s">
        <v>35</v>
      </c>
    </row>
    <row r="22" spans="1:6" ht="2.25" customHeight="1" x14ac:dyDescent="0.45">
      <c r="A22" s="50"/>
      <c r="B22" s="53"/>
      <c r="C22" s="53"/>
      <c r="D22" s="53"/>
      <c r="E22" s="53"/>
      <c r="F22" s="53"/>
    </row>
    <row r="23" spans="1:6" ht="24.75" x14ac:dyDescent="0.45">
      <c r="A23" s="50" t="s">
        <v>32</v>
      </c>
      <c r="B23" s="51" t="s">
        <v>61</v>
      </c>
      <c r="C23" s="51" t="s">
        <v>32</v>
      </c>
      <c r="D23" s="51" t="s">
        <v>32</v>
      </c>
      <c r="E23" s="51" t="s">
        <v>32</v>
      </c>
      <c r="F23" s="51" t="s">
        <v>32</v>
      </c>
    </row>
    <row r="24" spans="1:6" ht="24.75" x14ac:dyDescent="0.45">
      <c r="A24" s="50" t="s">
        <v>36</v>
      </c>
      <c r="B24" s="56"/>
      <c r="C24" s="56"/>
      <c r="D24" s="56"/>
      <c r="E24" s="56"/>
      <c r="F24" s="56"/>
    </row>
    <row r="25" spans="1:6" ht="24.75" x14ac:dyDescent="0.45">
      <c r="A25" s="50" t="s">
        <v>34</v>
      </c>
      <c r="B25" s="56"/>
      <c r="C25" s="56"/>
      <c r="D25" s="56"/>
      <c r="E25" s="56"/>
      <c r="F25" s="56"/>
    </row>
    <row r="26" spans="1:6" ht="24.75" x14ac:dyDescent="0.45">
      <c r="A26" s="50" t="s">
        <v>67</v>
      </c>
      <c r="B26" s="52" t="s">
        <v>35</v>
      </c>
      <c r="C26" s="52" t="s">
        <v>35</v>
      </c>
      <c r="D26" s="52" t="s">
        <v>35</v>
      </c>
      <c r="E26" s="52" t="s">
        <v>35</v>
      </c>
      <c r="F26" s="52" t="s">
        <v>35</v>
      </c>
    </row>
    <row r="27" spans="1:6" ht="2.25" customHeight="1" x14ac:dyDescent="0.45">
      <c r="A27" s="50"/>
      <c r="B27" s="53"/>
      <c r="C27" s="53"/>
      <c r="D27" s="53"/>
      <c r="E27" s="53"/>
      <c r="F27" s="53"/>
    </row>
    <row r="28" spans="1:6" ht="24.75" x14ac:dyDescent="0.45">
      <c r="A28" s="50" t="s">
        <v>32</v>
      </c>
      <c r="B28" s="51" t="s">
        <v>62</v>
      </c>
      <c r="C28" s="51" t="s">
        <v>32</v>
      </c>
      <c r="D28" s="51" t="s">
        <v>32</v>
      </c>
      <c r="E28" s="51" t="s">
        <v>32</v>
      </c>
      <c r="F28" s="51" t="s">
        <v>32</v>
      </c>
    </row>
    <row r="29" spans="1:6" ht="24.75" x14ac:dyDescent="0.45">
      <c r="A29" s="50" t="s">
        <v>36</v>
      </c>
      <c r="B29" s="56"/>
      <c r="C29" s="56"/>
      <c r="D29" s="56"/>
      <c r="E29" s="56"/>
      <c r="F29" s="56"/>
    </row>
    <row r="30" spans="1:6" ht="24.75" x14ac:dyDescent="0.45">
      <c r="A30" s="50" t="s">
        <v>34</v>
      </c>
      <c r="B30" s="56"/>
      <c r="C30" s="56"/>
      <c r="D30" s="56"/>
      <c r="E30" s="56"/>
      <c r="F30" s="56"/>
    </row>
    <row r="31" spans="1:6" ht="24.75" x14ac:dyDescent="0.45">
      <c r="A31" s="50" t="s">
        <v>67</v>
      </c>
      <c r="B31" s="52" t="s">
        <v>35</v>
      </c>
      <c r="C31" s="52" t="s">
        <v>35</v>
      </c>
      <c r="D31" s="52" t="s">
        <v>35</v>
      </c>
      <c r="E31" s="52" t="s">
        <v>35</v>
      </c>
      <c r="F31" s="52" t="s">
        <v>35</v>
      </c>
    </row>
    <row r="32" spans="1:6" ht="2.25" customHeight="1" x14ac:dyDescent="0.45">
      <c r="A32" s="50"/>
      <c r="B32" s="53"/>
      <c r="C32" s="53"/>
      <c r="D32" s="53"/>
      <c r="E32" s="53"/>
      <c r="F32" s="53"/>
    </row>
    <row r="33" spans="1:6" ht="24.75" x14ac:dyDescent="0.45">
      <c r="A33" s="50" t="s">
        <v>32</v>
      </c>
      <c r="B33" s="51" t="s">
        <v>63</v>
      </c>
      <c r="C33" s="51" t="s">
        <v>32</v>
      </c>
      <c r="D33" s="51" t="s">
        <v>32</v>
      </c>
      <c r="E33" s="51" t="s">
        <v>32</v>
      </c>
      <c r="F33" s="51" t="s">
        <v>32</v>
      </c>
    </row>
    <row r="34" spans="1:6" ht="24.75" x14ac:dyDescent="0.45">
      <c r="A34" s="50" t="s">
        <v>36</v>
      </c>
      <c r="B34" s="56"/>
      <c r="C34" s="56"/>
      <c r="D34" s="56"/>
      <c r="E34" s="56"/>
      <c r="F34" s="56"/>
    </row>
    <row r="35" spans="1:6" ht="24.75" x14ac:dyDescent="0.45">
      <c r="A35" s="50" t="s">
        <v>34</v>
      </c>
      <c r="B35" s="56"/>
      <c r="C35" s="56"/>
      <c r="D35" s="56"/>
      <c r="E35" s="56"/>
      <c r="F35" s="56"/>
    </row>
    <row r="36" spans="1:6" ht="24.75" x14ac:dyDescent="0.45">
      <c r="A36" s="50" t="s">
        <v>67</v>
      </c>
      <c r="B36" s="52" t="s">
        <v>35</v>
      </c>
      <c r="C36" s="52" t="s">
        <v>35</v>
      </c>
      <c r="D36" s="52" t="s">
        <v>35</v>
      </c>
      <c r="E36" s="52" t="s">
        <v>35</v>
      </c>
      <c r="F36" s="52" t="s">
        <v>35</v>
      </c>
    </row>
    <row r="37" spans="1:6" ht="2.25" customHeight="1" x14ac:dyDescent="0.45">
      <c r="A37" s="50"/>
      <c r="B37" s="53"/>
      <c r="C37" s="53"/>
      <c r="D37" s="53"/>
      <c r="E37" s="53"/>
      <c r="F37" s="53"/>
    </row>
    <row r="38" spans="1:6" ht="24.75" x14ac:dyDescent="0.45">
      <c r="A38" s="50" t="s">
        <v>32</v>
      </c>
      <c r="B38" s="51" t="s">
        <v>64</v>
      </c>
      <c r="C38" s="51" t="s">
        <v>32</v>
      </c>
      <c r="D38" s="51" t="s">
        <v>32</v>
      </c>
      <c r="E38" s="51" t="s">
        <v>32</v>
      </c>
      <c r="F38" s="51" t="s">
        <v>32</v>
      </c>
    </row>
    <row r="39" spans="1:6" ht="24.75" x14ac:dyDescent="0.45">
      <c r="A39" s="50" t="s">
        <v>36</v>
      </c>
      <c r="B39" s="56"/>
      <c r="C39" s="56"/>
      <c r="D39" s="56"/>
      <c r="E39" s="56"/>
      <c r="F39" s="56"/>
    </row>
    <row r="40" spans="1:6" ht="24.75" x14ac:dyDescent="0.45">
      <c r="A40" s="50" t="s">
        <v>34</v>
      </c>
      <c r="B40" s="56"/>
      <c r="C40" s="56"/>
      <c r="D40" s="56"/>
      <c r="E40" s="56"/>
      <c r="F40" s="56"/>
    </row>
    <row r="41" spans="1:6" ht="24.75" x14ac:dyDescent="0.45">
      <c r="A41" s="50" t="s">
        <v>67</v>
      </c>
      <c r="B41" s="52" t="s">
        <v>35</v>
      </c>
      <c r="C41" s="52" t="s">
        <v>35</v>
      </c>
      <c r="D41" s="52" t="s">
        <v>35</v>
      </c>
      <c r="E41" s="52" t="s">
        <v>35</v>
      </c>
      <c r="F41" s="52" t="s">
        <v>35</v>
      </c>
    </row>
    <row r="42" spans="1:6" ht="2.25" customHeight="1" x14ac:dyDescent="0.45">
      <c r="A42" s="50"/>
      <c r="B42" s="53"/>
      <c r="C42" s="53"/>
      <c r="D42" s="53"/>
      <c r="E42" s="53"/>
      <c r="F42" s="53"/>
    </row>
    <row r="43" spans="1:6" ht="24.75" x14ac:dyDescent="0.45">
      <c r="A43" s="50" t="s">
        <v>32</v>
      </c>
      <c r="B43" s="51" t="s">
        <v>65</v>
      </c>
      <c r="C43" s="51" t="s">
        <v>32</v>
      </c>
      <c r="D43" s="51" t="s">
        <v>32</v>
      </c>
      <c r="E43" s="51" t="s">
        <v>32</v>
      </c>
      <c r="F43" s="51" t="s">
        <v>32</v>
      </c>
    </row>
    <row r="44" spans="1:6" ht="24.75" x14ac:dyDescent="0.45">
      <c r="A44" s="50" t="s">
        <v>36</v>
      </c>
      <c r="B44" s="56"/>
      <c r="C44" s="56"/>
      <c r="D44" s="56"/>
      <c r="E44" s="56"/>
      <c r="F44" s="56"/>
    </row>
    <row r="45" spans="1:6" ht="24.75" x14ac:dyDescent="0.45">
      <c r="A45" s="50" t="s">
        <v>34</v>
      </c>
      <c r="B45" s="56"/>
      <c r="C45" s="56"/>
      <c r="D45" s="56"/>
      <c r="E45" s="56"/>
      <c r="F45" s="56"/>
    </row>
    <row r="46" spans="1:6" ht="24.75" x14ac:dyDescent="0.45">
      <c r="A46" s="50" t="s">
        <v>67</v>
      </c>
      <c r="B46" s="52" t="s">
        <v>35</v>
      </c>
      <c r="C46" s="52" t="s">
        <v>35</v>
      </c>
      <c r="D46" s="52" t="s">
        <v>35</v>
      </c>
      <c r="E46" s="52" t="s">
        <v>35</v>
      </c>
      <c r="F46" s="52" t="s">
        <v>35</v>
      </c>
    </row>
    <row r="47" spans="1:6" ht="2.25" customHeight="1" x14ac:dyDescent="0.45">
      <c r="A47" s="50"/>
      <c r="B47" s="53"/>
      <c r="C47" s="53"/>
      <c r="D47" s="53"/>
      <c r="E47" s="53"/>
      <c r="F47" s="53"/>
    </row>
    <row r="48" spans="1:6" ht="24.75" x14ac:dyDescent="0.45">
      <c r="A48" s="50" t="s">
        <v>32</v>
      </c>
      <c r="B48" s="51" t="s">
        <v>66</v>
      </c>
      <c r="C48" s="51" t="s">
        <v>32</v>
      </c>
      <c r="D48" s="51" t="s">
        <v>32</v>
      </c>
      <c r="E48" s="51" t="s">
        <v>32</v>
      </c>
      <c r="F48" s="51" t="s">
        <v>32</v>
      </c>
    </row>
    <row r="49" spans="1:6" ht="24.75" x14ac:dyDescent="0.45">
      <c r="A49" s="50" t="s">
        <v>36</v>
      </c>
      <c r="B49" s="56"/>
      <c r="C49" s="56"/>
      <c r="D49" s="56"/>
      <c r="E49" s="56"/>
      <c r="F49" s="56"/>
    </row>
    <row r="50" spans="1:6" ht="24.75" x14ac:dyDescent="0.45">
      <c r="A50" s="50" t="s">
        <v>34</v>
      </c>
      <c r="B50" s="56"/>
      <c r="C50" s="56"/>
      <c r="D50" s="56"/>
      <c r="E50" s="56"/>
      <c r="F50" s="56"/>
    </row>
    <row r="51" spans="1:6" ht="24.75" x14ac:dyDescent="0.45">
      <c r="A51" s="50" t="s">
        <v>67</v>
      </c>
      <c r="B51" s="52" t="s">
        <v>35</v>
      </c>
      <c r="C51" s="52" t="s">
        <v>35</v>
      </c>
      <c r="D51" s="52" t="s">
        <v>35</v>
      </c>
      <c r="E51" s="52" t="s">
        <v>35</v>
      </c>
      <c r="F51" s="52" t="s">
        <v>35</v>
      </c>
    </row>
    <row r="52" spans="1:6" ht="2.25" customHeight="1" x14ac:dyDescent="0.45"/>
  </sheetData>
  <conditionalFormatting sqref="B4:F4 B9:F9 B14:F14 B19:F19 B24:F24">
    <cfRule type="cellIs" dxfId="11" priority="12" operator="equal">
      <formula>"r"</formula>
    </cfRule>
  </conditionalFormatting>
  <conditionalFormatting sqref="B29:F29">
    <cfRule type="cellIs" dxfId="10" priority="5" operator="equal">
      <formula>"r"</formula>
    </cfRule>
  </conditionalFormatting>
  <conditionalFormatting sqref="B34:F34">
    <cfRule type="cellIs" dxfId="9" priority="4" operator="equal">
      <formula>"r"</formula>
    </cfRule>
  </conditionalFormatting>
  <conditionalFormatting sqref="B39:F39">
    <cfRule type="cellIs" dxfId="8" priority="3" operator="equal">
      <formula>"r"</formula>
    </cfRule>
  </conditionalFormatting>
  <conditionalFormatting sqref="B44:F44">
    <cfRule type="cellIs" dxfId="7" priority="2" operator="equal">
      <formula>"r"</formula>
    </cfRule>
  </conditionalFormatting>
  <conditionalFormatting sqref="B49:F49">
    <cfRule type="cellIs" dxfId="6" priority="1" operator="equal">
      <formula>"r"</formula>
    </cfRule>
  </conditionalFormatting>
  <dataValidations count="1">
    <dataValidation type="list" allowBlank="1" showInputMessage="1" showErrorMessage="1" sqref="B4:F5 B19:F20 B14:F15 B9:F10 B24:F25 B29:F30 B34:F35 B39:F40 B44:F45 B49:F50" xr:uid="{00000000-0002-0000-0300-000000000000}">
      <formula1>$O$1:$P$1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1"/>
  <sheetViews>
    <sheetView showGridLines="0" zoomScale="55" zoomScaleNormal="55" workbookViewId="0">
      <selection activeCell="C1" sqref="C1"/>
    </sheetView>
  </sheetViews>
  <sheetFormatPr defaultColWidth="9.140625" defaultRowHeight="21" x14ac:dyDescent="0.45"/>
  <cols>
    <col min="1" max="1" width="29.5703125" style="15" customWidth="1"/>
    <col min="2" max="5" width="36.5703125" style="16" customWidth="1"/>
    <col min="6" max="6" width="34.7109375" style="16" customWidth="1"/>
    <col min="7" max="7" width="31.85546875" style="16" customWidth="1"/>
    <col min="8" max="16384" width="9.140625" style="15"/>
  </cols>
  <sheetData>
    <row r="1" spans="1:18" ht="24.75" x14ac:dyDescent="0.45">
      <c r="A1" s="54"/>
      <c r="B1" s="53" t="str">
        <f>Equivalência!B1</f>
        <v>Amil</v>
      </c>
      <c r="C1" s="53" t="s">
        <v>37</v>
      </c>
      <c r="D1" s="53" t="str">
        <f>Equivalência!C1</f>
        <v>Player I</v>
      </c>
      <c r="E1" s="53" t="str">
        <f>Equivalência!D1</f>
        <v>Player II</v>
      </c>
      <c r="F1" s="53" t="str">
        <f>Equivalência!E1</f>
        <v>Player III</v>
      </c>
      <c r="G1" s="53" t="str">
        <f>Equivalência!F1</f>
        <v>Player IV</v>
      </c>
      <c r="Q1" s="15" t="s">
        <v>30</v>
      </c>
      <c r="R1" s="15" t="s">
        <v>31</v>
      </c>
    </row>
    <row r="2" spans="1:18" ht="24.75" x14ac:dyDescent="0.45">
      <c r="A2" s="54"/>
      <c r="B2" s="53"/>
      <c r="C2" s="53"/>
      <c r="D2" s="53"/>
      <c r="E2" s="53"/>
      <c r="F2" s="53"/>
      <c r="G2" s="53"/>
    </row>
    <row r="3" spans="1:18" ht="24.75" x14ac:dyDescent="0.45">
      <c r="A3" s="54" t="s">
        <v>32</v>
      </c>
      <c r="B3" s="51" t="str">
        <f>Equivalência!B3</f>
        <v>Produto 1</v>
      </c>
      <c r="C3" s="51" t="str">
        <f>B3</f>
        <v>Produto 1</v>
      </c>
      <c r="D3" s="51" t="str">
        <f>Equivalência!C3</f>
        <v>Produto</v>
      </c>
      <c r="E3" s="51" t="str">
        <f>Equivalência!D3</f>
        <v>Produto</v>
      </c>
      <c r="F3" s="51" t="str">
        <f>Equivalência!E3</f>
        <v>Produto</v>
      </c>
      <c r="G3" s="51" t="str">
        <f>Equivalência!F3</f>
        <v>Produto</v>
      </c>
    </row>
    <row r="4" spans="1:18" ht="24.75" x14ac:dyDescent="0.45">
      <c r="A4" s="54" t="s">
        <v>38</v>
      </c>
      <c r="B4" s="55"/>
      <c r="C4" s="55">
        <f>B4</f>
        <v>0</v>
      </c>
      <c r="D4" s="55">
        <f t="shared" ref="D4:G4" si="0">C4</f>
        <v>0</v>
      </c>
      <c r="E4" s="55">
        <f t="shared" si="0"/>
        <v>0</v>
      </c>
      <c r="F4" s="55">
        <f t="shared" si="0"/>
        <v>0</v>
      </c>
      <c r="G4" s="55">
        <f t="shared" si="0"/>
        <v>0</v>
      </c>
    </row>
    <row r="5" spans="1:18" ht="24.75" x14ac:dyDescent="0.45">
      <c r="A5" s="54" t="s">
        <v>39</v>
      </c>
      <c r="B5" s="52"/>
      <c r="C5" s="52">
        <f>B5*120%</f>
        <v>0</v>
      </c>
      <c r="D5" s="52"/>
      <c r="E5" s="52"/>
      <c r="F5" s="52"/>
      <c r="G5" s="52"/>
    </row>
    <row r="6" spans="1:18" ht="24.75" x14ac:dyDescent="0.45">
      <c r="A6" s="54" t="s">
        <v>3</v>
      </c>
      <c r="B6" s="52">
        <f t="shared" ref="B6:G6" si="1">B5*B4</f>
        <v>0</v>
      </c>
      <c r="C6" s="52">
        <f t="shared" si="1"/>
        <v>0</v>
      </c>
      <c r="D6" s="52">
        <f t="shared" si="1"/>
        <v>0</v>
      </c>
      <c r="E6" s="52">
        <f t="shared" si="1"/>
        <v>0</v>
      </c>
      <c r="F6" s="52">
        <f t="shared" si="1"/>
        <v>0</v>
      </c>
      <c r="G6" s="52">
        <f t="shared" si="1"/>
        <v>0</v>
      </c>
    </row>
    <row r="7" spans="1:18" ht="3.75" customHeight="1" x14ac:dyDescent="0.45">
      <c r="A7" s="54"/>
      <c r="B7" s="53"/>
      <c r="C7" s="53"/>
      <c r="D7" s="53"/>
      <c r="E7" s="53"/>
      <c r="F7" s="53"/>
      <c r="G7" s="53"/>
    </row>
    <row r="8" spans="1:18" ht="24.75" x14ac:dyDescent="0.45">
      <c r="A8" s="54" t="s">
        <v>32</v>
      </c>
      <c r="B8" s="51" t="str">
        <f>Equivalência!B8</f>
        <v>Produto 2</v>
      </c>
      <c r="C8" s="51" t="str">
        <f>B8</f>
        <v>Produto 2</v>
      </c>
      <c r="D8" s="51" t="str">
        <f>Equivalência!C8</f>
        <v>Produto</v>
      </c>
      <c r="E8" s="51" t="str">
        <f>Equivalência!D8</f>
        <v>Produto</v>
      </c>
      <c r="F8" s="51" t="str">
        <f>Equivalência!E8</f>
        <v>Produto</v>
      </c>
      <c r="G8" s="51" t="str">
        <f>Equivalência!F8</f>
        <v>Produto</v>
      </c>
    </row>
    <row r="9" spans="1:18" ht="24.75" x14ac:dyDescent="0.45">
      <c r="A9" s="54" t="s">
        <v>38</v>
      </c>
      <c r="B9" s="55"/>
      <c r="C9" s="55">
        <f>B9</f>
        <v>0</v>
      </c>
      <c r="D9" s="55">
        <f t="shared" ref="D9:G9" si="2">C9</f>
        <v>0</v>
      </c>
      <c r="E9" s="55">
        <f t="shared" si="2"/>
        <v>0</v>
      </c>
      <c r="F9" s="55">
        <f t="shared" si="2"/>
        <v>0</v>
      </c>
      <c r="G9" s="55">
        <f t="shared" si="2"/>
        <v>0</v>
      </c>
    </row>
    <row r="10" spans="1:18" ht="24.75" x14ac:dyDescent="0.45">
      <c r="A10" s="54" t="s">
        <v>39</v>
      </c>
      <c r="B10" s="52"/>
      <c r="C10" s="52">
        <f>B10*120%</f>
        <v>0</v>
      </c>
      <c r="D10" s="52"/>
      <c r="E10" s="52"/>
      <c r="F10" s="52"/>
      <c r="G10" s="52"/>
    </row>
    <row r="11" spans="1:18" ht="24.75" x14ac:dyDescent="0.45">
      <c r="A11" s="54" t="s">
        <v>3</v>
      </c>
      <c r="B11" s="52">
        <f t="shared" ref="B11:G11" si="3">B10*B9</f>
        <v>0</v>
      </c>
      <c r="C11" s="52">
        <f t="shared" si="3"/>
        <v>0</v>
      </c>
      <c r="D11" s="52">
        <f t="shared" si="3"/>
        <v>0</v>
      </c>
      <c r="E11" s="52">
        <f t="shared" si="3"/>
        <v>0</v>
      </c>
      <c r="F11" s="52">
        <f t="shared" si="3"/>
        <v>0</v>
      </c>
      <c r="G11" s="52">
        <f t="shared" si="3"/>
        <v>0</v>
      </c>
    </row>
    <row r="12" spans="1:18" ht="3.75" customHeight="1" x14ac:dyDescent="0.45">
      <c r="A12" s="54"/>
      <c r="B12" s="53"/>
      <c r="C12" s="53"/>
      <c r="D12" s="53"/>
      <c r="E12" s="53"/>
      <c r="F12" s="53"/>
      <c r="G12" s="53"/>
    </row>
    <row r="13" spans="1:18" ht="24.75" x14ac:dyDescent="0.45">
      <c r="A13" s="54" t="s">
        <v>32</v>
      </c>
      <c r="B13" s="51" t="str">
        <f>Equivalência!B13</f>
        <v>Produto 3</v>
      </c>
      <c r="C13" s="51" t="str">
        <f>B13</f>
        <v>Produto 3</v>
      </c>
      <c r="D13" s="51" t="str">
        <f>Equivalência!C13</f>
        <v>Produto</v>
      </c>
      <c r="E13" s="51" t="str">
        <f>Equivalência!D13</f>
        <v>Produto</v>
      </c>
      <c r="F13" s="51" t="str">
        <f>Equivalência!E13</f>
        <v>Produto</v>
      </c>
      <c r="G13" s="51" t="str">
        <f>Equivalência!F13</f>
        <v>Produto</v>
      </c>
    </row>
    <row r="14" spans="1:18" ht="24.75" x14ac:dyDescent="0.45">
      <c r="A14" s="54" t="s">
        <v>38</v>
      </c>
      <c r="B14" s="55"/>
      <c r="C14" s="55">
        <f>B14</f>
        <v>0</v>
      </c>
      <c r="D14" s="55">
        <f t="shared" ref="D14:G14" si="4">C14</f>
        <v>0</v>
      </c>
      <c r="E14" s="55">
        <f t="shared" si="4"/>
        <v>0</v>
      </c>
      <c r="F14" s="55">
        <f t="shared" si="4"/>
        <v>0</v>
      </c>
      <c r="G14" s="55">
        <f t="shared" si="4"/>
        <v>0</v>
      </c>
    </row>
    <row r="15" spans="1:18" ht="24.75" x14ac:dyDescent="0.45">
      <c r="A15" s="54" t="s">
        <v>39</v>
      </c>
      <c r="B15" s="52"/>
      <c r="C15" s="52">
        <f>B15*120%</f>
        <v>0</v>
      </c>
      <c r="D15" s="52"/>
      <c r="E15" s="52"/>
      <c r="F15" s="52"/>
      <c r="G15" s="52"/>
    </row>
    <row r="16" spans="1:18" ht="24.75" x14ac:dyDescent="0.45">
      <c r="A16" s="54" t="s">
        <v>3</v>
      </c>
      <c r="B16" s="52">
        <f t="shared" ref="B16:G16" si="5">B15*B14</f>
        <v>0</v>
      </c>
      <c r="C16" s="52">
        <f t="shared" si="5"/>
        <v>0</v>
      </c>
      <c r="D16" s="52">
        <f t="shared" si="5"/>
        <v>0</v>
      </c>
      <c r="E16" s="52">
        <f t="shared" si="5"/>
        <v>0</v>
      </c>
      <c r="F16" s="52">
        <f t="shared" si="5"/>
        <v>0</v>
      </c>
      <c r="G16" s="52">
        <f t="shared" si="5"/>
        <v>0</v>
      </c>
    </row>
    <row r="17" spans="1:7" ht="3.75" customHeight="1" x14ac:dyDescent="0.45">
      <c r="A17" s="54"/>
      <c r="B17" s="53"/>
      <c r="C17" s="53"/>
      <c r="D17" s="53"/>
      <c r="E17" s="53"/>
      <c r="F17" s="53"/>
      <c r="G17" s="53"/>
    </row>
    <row r="18" spans="1:7" ht="24.75" x14ac:dyDescent="0.45">
      <c r="A18" s="54" t="s">
        <v>32</v>
      </c>
      <c r="B18" s="51" t="str">
        <f>Equivalência!B18</f>
        <v>Produto 4</v>
      </c>
      <c r="C18" s="51" t="str">
        <f>B18</f>
        <v>Produto 4</v>
      </c>
      <c r="D18" s="51" t="str">
        <f>Equivalência!C18</f>
        <v>Produto</v>
      </c>
      <c r="E18" s="51" t="str">
        <f>Equivalência!D18</f>
        <v>Produto</v>
      </c>
      <c r="F18" s="51" t="str">
        <f>Equivalência!E18</f>
        <v>Produto</v>
      </c>
      <c r="G18" s="51" t="str">
        <f>Equivalência!F18</f>
        <v>Produto</v>
      </c>
    </row>
    <row r="19" spans="1:7" ht="24.75" x14ac:dyDescent="0.45">
      <c r="A19" s="54" t="s">
        <v>38</v>
      </c>
      <c r="B19" s="55"/>
      <c r="C19" s="55">
        <f>B19</f>
        <v>0</v>
      </c>
      <c r="D19" s="55">
        <f t="shared" ref="D19:G19" si="6">C19</f>
        <v>0</v>
      </c>
      <c r="E19" s="55">
        <f t="shared" si="6"/>
        <v>0</v>
      </c>
      <c r="F19" s="55">
        <f t="shared" si="6"/>
        <v>0</v>
      </c>
      <c r="G19" s="55">
        <f t="shared" si="6"/>
        <v>0</v>
      </c>
    </row>
    <row r="20" spans="1:7" ht="24.75" x14ac:dyDescent="0.45">
      <c r="A20" s="54" t="s">
        <v>39</v>
      </c>
      <c r="B20" s="52"/>
      <c r="C20" s="52">
        <f>B20*120%</f>
        <v>0</v>
      </c>
      <c r="D20" s="52"/>
      <c r="E20" s="52"/>
      <c r="F20" s="52"/>
      <c r="G20" s="52"/>
    </row>
    <row r="21" spans="1:7" ht="24.75" x14ac:dyDescent="0.45">
      <c r="A21" s="54" t="s">
        <v>3</v>
      </c>
      <c r="B21" s="52">
        <f t="shared" ref="B21:G21" si="7">B20*B19</f>
        <v>0</v>
      </c>
      <c r="C21" s="52">
        <f t="shared" si="7"/>
        <v>0</v>
      </c>
      <c r="D21" s="52">
        <f t="shared" si="7"/>
        <v>0</v>
      </c>
      <c r="E21" s="52">
        <f t="shared" si="7"/>
        <v>0</v>
      </c>
      <c r="F21" s="52">
        <f t="shared" si="7"/>
        <v>0</v>
      </c>
      <c r="G21" s="52">
        <f t="shared" si="7"/>
        <v>0</v>
      </c>
    </row>
    <row r="22" spans="1:7" ht="3.75" customHeight="1" x14ac:dyDescent="0.45">
      <c r="A22" s="54"/>
      <c r="B22" s="53"/>
      <c r="C22" s="53"/>
      <c r="D22" s="53"/>
      <c r="E22" s="53"/>
      <c r="F22" s="53"/>
      <c r="G22" s="53"/>
    </row>
    <row r="23" spans="1:7" ht="24.75" x14ac:dyDescent="0.45">
      <c r="A23" s="54" t="s">
        <v>32</v>
      </c>
      <c r="B23" s="51" t="str">
        <f>Equivalência!B23</f>
        <v>Produto 5</v>
      </c>
      <c r="C23" s="51" t="str">
        <f>B23</f>
        <v>Produto 5</v>
      </c>
      <c r="D23" s="51" t="str">
        <f>Equivalência!C23</f>
        <v>Produto</v>
      </c>
      <c r="E23" s="51" t="str">
        <f>Equivalência!D23</f>
        <v>Produto</v>
      </c>
      <c r="F23" s="51" t="str">
        <f>Equivalência!E23</f>
        <v>Produto</v>
      </c>
      <c r="G23" s="51" t="str">
        <f>Equivalência!F23</f>
        <v>Produto</v>
      </c>
    </row>
    <row r="24" spans="1:7" ht="24.75" x14ac:dyDescent="0.45">
      <c r="A24" s="54" t="s">
        <v>38</v>
      </c>
      <c r="B24" s="55"/>
      <c r="C24" s="55">
        <f>B24</f>
        <v>0</v>
      </c>
      <c r="D24" s="55">
        <f t="shared" ref="D24:G24" si="8">C24</f>
        <v>0</v>
      </c>
      <c r="E24" s="55">
        <f t="shared" si="8"/>
        <v>0</v>
      </c>
      <c r="F24" s="55">
        <f t="shared" si="8"/>
        <v>0</v>
      </c>
      <c r="G24" s="55">
        <f t="shared" si="8"/>
        <v>0</v>
      </c>
    </row>
    <row r="25" spans="1:7" ht="24.75" x14ac:dyDescent="0.45">
      <c r="A25" s="54" t="s">
        <v>39</v>
      </c>
      <c r="B25" s="52"/>
      <c r="C25" s="52">
        <f>B25*120%</f>
        <v>0</v>
      </c>
      <c r="D25" s="52"/>
      <c r="E25" s="52"/>
      <c r="F25" s="52"/>
      <c r="G25" s="52"/>
    </row>
    <row r="26" spans="1:7" ht="24.75" x14ac:dyDescent="0.45">
      <c r="A26" s="54" t="s">
        <v>3</v>
      </c>
      <c r="B26" s="52">
        <f t="shared" ref="B26:G26" si="9">B25*B24</f>
        <v>0</v>
      </c>
      <c r="C26" s="52">
        <f t="shared" si="9"/>
        <v>0</v>
      </c>
      <c r="D26" s="52">
        <f t="shared" si="9"/>
        <v>0</v>
      </c>
      <c r="E26" s="52">
        <f t="shared" si="9"/>
        <v>0</v>
      </c>
      <c r="F26" s="52">
        <f t="shared" si="9"/>
        <v>0</v>
      </c>
      <c r="G26" s="52">
        <f t="shared" si="9"/>
        <v>0</v>
      </c>
    </row>
    <row r="27" spans="1:7" ht="3.75" customHeight="1" x14ac:dyDescent="0.45">
      <c r="A27" s="54"/>
      <c r="B27" s="53"/>
      <c r="C27" s="53"/>
      <c r="D27" s="53"/>
      <c r="E27" s="53"/>
      <c r="F27" s="53"/>
      <c r="G27" s="53"/>
    </row>
    <row r="28" spans="1:7" ht="24.75" x14ac:dyDescent="0.45">
      <c r="A28" s="54" t="s">
        <v>32</v>
      </c>
      <c r="B28" s="51" t="str">
        <f>Equivalência!B28</f>
        <v>Produto 6</v>
      </c>
      <c r="C28" s="51" t="str">
        <f>B28</f>
        <v>Produto 6</v>
      </c>
      <c r="D28" s="51" t="str">
        <f>Equivalência!C28</f>
        <v>Produto</v>
      </c>
      <c r="E28" s="51" t="str">
        <f>Equivalência!D28</f>
        <v>Produto</v>
      </c>
      <c r="F28" s="51" t="str">
        <f>Equivalência!E28</f>
        <v>Produto</v>
      </c>
      <c r="G28" s="51" t="str">
        <f>Equivalência!F28</f>
        <v>Produto</v>
      </c>
    </row>
    <row r="29" spans="1:7" ht="24.75" x14ac:dyDescent="0.45">
      <c r="A29" s="54" t="s">
        <v>38</v>
      </c>
      <c r="B29" s="55"/>
      <c r="C29" s="55">
        <f>B29</f>
        <v>0</v>
      </c>
      <c r="D29" s="55">
        <f t="shared" ref="D29:G29" si="10">C29</f>
        <v>0</v>
      </c>
      <c r="E29" s="55">
        <f t="shared" si="10"/>
        <v>0</v>
      </c>
      <c r="F29" s="55">
        <f t="shared" si="10"/>
        <v>0</v>
      </c>
      <c r="G29" s="55">
        <f t="shared" si="10"/>
        <v>0</v>
      </c>
    </row>
    <row r="30" spans="1:7" ht="24.75" x14ac:dyDescent="0.45">
      <c r="A30" s="54" t="s">
        <v>39</v>
      </c>
      <c r="B30" s="52"/>
      <c r="C30" s="52">
        <f>B30*120%</f>
        <v>0</v>
      </c>
      <c r="D30" s="52"/>
      <c r="E30" s="52"/>
      <c r="F30" s="52"/>
      <c r="G30" s="52"/>
    </row>
    <row r="31" spans="1:7" ht="24.75" x14ac:dyDescent="0.45">
      <c r="A31" s="54" t="s">
        <v>3</v>
      </c>
      <c r="B31" s="52">
        <f t="shared" ref="B31:G31" si="11">B30*B29</f>
        <v>0</v>
      </c>
      <c r="C31" s="52">
        <f t="shared" si="11"/>
        <v>0</v>
      </c>
      <c r="D31" s="52">
        <f t="shared" si="11"/>
        <v>0</v>
      </c>
      <c r="E31" s="52">
        <f t="shared" si="11"/>
        <v>0</v>
      </c>
      <c r="F31" s="52">
        <f t="shared" si="11"/>
        <v>0</v>
      </c>
      <c r="G31" s="52">
        <f t="shared" si="11"/>
        <v>0</v>
      </c>
    </row>
    <row r="32" spans="1:7" ht="3.75" customHeight="1" x14ac:dyDescent="0.45">
      <c r="A32" s="54"/>
      <c r="B32" s="53"/>
      <c r="C32" s="53"/>
      <c r="D32" s="53"/>
      <c r="E32" s="53"/>
      <c r="F32" s="53"/>
      <c r="G32" s="53"/>
    </row>
    <row r="33" spans="1:7" ht="24.75" x14ac:dyDescent="0.45">
      <c r="A33" s="54" t="s">
        <v>32</v>
      </c>
      <c r="B33" s="51" t="str">
        <f>Equivalência!B33</f>
        <v>Produto 7</v>
      </c>
      <c r="C33" s="51" t="str">
        <f>B33</f>
        <v>Produto 7</v>
      </c>
      <c r="D33" s="51" t="str">
        <f>Equivalência!C33</f>
        <v>Produto</v>
      </c>
      <c r="E33" s="51" t="str">
        <f>Equivalência!D33</f>
        <v>Produto</v>
      </c>
      <c r="F33" s="51" t="str">
        <f>Equivalência!E33</f>
        <v>Produto</v>
      </c>
      <c r="G33" s="51" t="str">
        <f>Equivalência!F33</f>
        <v>Produto</v>
      </c>
    </row>
    <row r="34" spans="1:7" ht="24.75" x14ac:dyDescent="0.45">
      <c r="A34" s="54" t="s">
        <v>38</v>
      </c>
      <c r="B34" s="55"/>
      <c r="C34" s="55">
        <f>B34</f>
        <v>0</v>
      </c>
      <c r="D34" s="55">
        <f t="shared" ref="D34:G34" si="12">C34</f>
        <v>0</v>
      </c>
      <c r="E34" s="55">
        <f t="shared" si="12"/>
        <v>0</v>
      </c>
      <c r="F34" s="55">
        <f t="shared" si="12"/>
        <v>0</v>
      </c>
      <c r="G34" s="55">
        <f t="shared" si="12"/>
        <v>0</v>
      </c>
    </row>
    <row r="35" spans="1:7" ht="24.75" x14ac:dyDescent="0.45">
      <c r="A35" s="54" t="s">
        <v>39</v>
      </c>
      <c r="B35" s="52"/>
      <c r="C35" s="52">
        <f>B35*120%</f>
        <v>0</v>
      </c>
      <c r="D35" s="52"/>
      <c r="E35" s="52"/>
      <c r="F35" s="52"/>
      <c r="G35" s="52"/>
    </row>
    <row r="36" spans="1:7" ht="24.75" x14ac:dyDescent="0.45">
      <c r="A36" s="54" t="s">
        <v>3</v>
      </c>
      <c r="B36" s="52">
        <f t="shared" ref="B36:G36" si="13">B35*B34</f>
        <v>0</v>
      </c>
      <c r="C36" s="52">
        <f t="shared" si="13"/>
        <v>0</v>
      </c>
      <c r="D36" s="52">
        <f t="shared" si="13"/>
        <v>0</v>
      </c>
      <c r="E36" s="52">
        <f t="shared" si="13"/>
        <v>0</v>
      </c>
      <c r="F36" s="52">
        <f t="shared" si="13"/>
        <v>0</v>
      </c>
      <c r="G36" s="52">
        <f t="shared" si="13"/>
        <v>0</v>
      </c>
    </row>
    <row r="37" spans="1:7" ht="3.75" customHeight="1" x14ac:dyDescent="0.45">
      <c r="A37" s="54"/>
      <c r="B37" s="53"/>
      <c r="C37" s="53"/>
      <c r="D37" s="53"/>
      <c r="E37" s="53"/>
      <c r="F37" s="53"/>
      <c r="G37" s="53"/>
    </row>
    <row r="38" spans="1:7" ht="24.75" x14ac:dyDescent="0.45">
      <c r="A38" s="54" t="s">
        <v>32</v>
      </c>
      <c r="B38" s="51" t="str">
        <f>Equivalência!B38</f>
        <v>Produto 8</v>
      </c>
      <c r="C38" s="51" t="str">
        <f>B38</f>
        <v>Produto 8</v>
      </c>
      <c r="D38" s="51" t="str">
        <f>Equivalência!C38</f>
        <v>Produto</v>
      </c>
      <c r="E38" s="51" t="str">
        <f>Equivalência!D38</f>
        <v>Produto</v>
      </c>
      <c r="F38" s="51" t="str">
        <f>Equivalência!E38</f>
        <v>Produto</v>
      </c>
      <c r="G38" s="51" t="str">
        <f>Equivalência!F38</f>
        <v>Produto</v>
      </c>
    </row>
    <row r="39" spans="1:7" ht="24.75" x14ac:dyDescent="0.45">
      <c r="A39" s="54" t="s">
        <v>38</v>
      </c>
      <c r="B39" s="55"/>
      <c r="C39" s="55">
        <f>B39</f>
        <v>0</v>
      </c>
      <c r="D39" s="55">
        <f t="shared" ref="D39:G39" si="14">C39</f>
        <v>0</v>
      </c>
      <c r="E39" s="55">
        <f t="shared" si="14"/>
        <v>0</v>
      </c>
      <c r="F39" s="55">
        <f t="shared" si="14"/>
        <v>0</v>
      </c>
      <c r="G39" s="55">
        <f t="shared" si="14"/>
        <v>0</v>
      </c>
    </row>
    <row r="40" spans="1:7" ht="24.75" x14ac:dyDescent="0.45">
      <c r="A40" s="54" t="s">
        <v>39</v>
      </c>
      <c r="B40" s="52"/>
      <c r="C40" s="52">
        <f>B40*120%</f>
        <v>0</v>
      </c>
      <c r="D40" s="52"/>
      <c r="E40" s="52"/>
      <c r="F40" s="52"/>
      <c r="G40" s="52"/>
    </row>
    <row r="41" spans="1:7" ht="24.75" x14ac:dyDescent="0.45">
      <c r="A41" s="54" t="s">
        <v>3</v>
      </c>
      <c r="B41" s="52">
        <f t="shared" ref="B41:G41" si="15">B40*B39</f>
        <v>0</v>
      </c>
      <c r="C41" s="52">
        <f t="shared" si="15"/>
        <v>0</v>
      </c>
      <c r="D41" s="52">
        <f t="shared" si="15"/>
        <v>0</v>
      </c>
      <c r="E41" s="52">
        <f t="shared" si="15"/>
        <v>0</v>
      </c>
      <c r="F41" s="52">
        <f t="shared" si="15"/>
        <v>0</v>
      </c>
      <c r="G41" s="52">
        <f t="shared" si="15"/>
        <v>0</v>
      </c>
    </row>
    <row r="42" spans="1:7" ht="3.75" customHeight="1" x14ac:dyDescent="0.45">
      <c r="A42" s="54"/>
      <c r="B42" s="53"/>
      <c r="C42" s="53"/>
      <c r="D42" s="53"/>
      <c r="E42" s="53"/>
      <c r="F42" s="53"/>
      <c r="G42" s="53"/>
    </row>
    <row r="43" spans="1:7" ht="24.75" x14ac:dyDescent="0.45">
      <c r="A43" s="54" t="s">
        <v>32</v>
      </c>
      <c r="B43" s="51" t="str">
        <f>Equivalência!B43</f>
        <v>Produto 9</v>
      </c>
      <c r="C43" s="51" t="str">
        <f>B43</f>
        <v>Produto 9</v>
      </c>
      <c r="D43" s="51" t="str">
        <f>Equivalência!C43</f>
        <v>Produto</v>
      </c>
      <c r="E43" s="51" t="str">
        <f>Equivalência!D43</f>
        <v>Produto</v>
      </c>
      <c r="F43" s="51" t="str">
        <f>Equivalência!E43</f>
        <v>Produto</v>
      </c>
      <c r="G43" s="51" t="str">
        <f>Equivalência!F43</f>
        <v>Produto</v>
      </c>
    </row>
    <row r="44" spans="1:7" ht="24.75" x14ac:dyDescent="0.45">
      <c r="A44" s="54" t="s">
        <v>38</v>
      </c>
      <c r="B44" s="55"/>
      <c r="C44" s="55">
        <f>B44</f>
        <v>0</v>
      </c>
      <c r="D44" s="55">
        <f t="shared" ref="D44:G44" si="16">C44</f>
        <v>0</v>
      </c>
      <c r="E44" s="55">
        <f t="shared" si="16"/>
        <v>0</v>
      </c>
      <c r="F44" s="55">
        <f t="shared" si="16"/>
        <v>0</v>
      </c>
      <c r="G44" s="55">
        <f t="shared" si="16"/>
        <v>0</v>
      </c>
    </row>
    <row r="45" spans="1:7" ht="24.75" x14ac:dyDescent="0.45">
      <c r="A45" s="54" t="s">
        <v>39</v>
      </c>
      <c r="B45" s="52"/>
      <c r="C45" s="52">
        <f>B45*120%</f>
        <v>0</v>
      </c>
      <c r="D45" s="52"/>
      <c r="E45" s="52"/>
      <c r="F45" s="52"/>
      <c r="G45" s="52"/>
    </row>
    <row r="46" spans="1:7" ht="24.75" x14ac:dyDescent="0.45">
      <c r="A46" s="54" t="s">
        <v>3</v>
      </c>
      <c r="B46" s="52">
        <f t="shared" ref="B46:G46" si="17">B45*B44</f>
        <v>0</v>
      </c>
      <c r="C46" s="52">
        <f t="shared" si="17"/>
        <v>0</v>
      </c>
      <c r="D46" s="52">
        <f t="shared" si="17"/>
        <v>0</v>
      </c>
      <c r="E46" s="52">
        <f t="shared" si="17"/>
        <v>0</v>
      </c>
      <c r="F46" s="52">
        <f t="shared" si="17"/>
        <v>0</v>
      </c>
      <c r="G46" s="52">
        <f t="shared" si="17"/>
        <v>0</v>
      </c>
    </row>
    <row r="47" spans="1:7" ht="3.75" customHeight="1" x14ac:dyDescent="0.45">
      <c r="A47" s="54"/>
      <c r="B47" s="53"/>
      <c r="C47" s="53"/>
      <c r="D47" s="53"/>
      <c r="E47" s="53"/>
      <c r="F47" s="53"/>
      <c r="G47" s="53"/>
    </row>
    <row r="48" spans="1:7" ht="24.75" x14ac:dyDescent="0.45">
      <c r="A48" s="54" t="s">
        <v>32</v>
      </c>
      <c r="B48" s="51" t="str">
        <f>Equivalência!B48</f>
        <v>Produto 10</v>
      </c>
      <c r="C48" s="51" t="str">
        <f>B48</f>
        <v>Produto 10</v>
      </c>
      <c r="D48" s="51" t="str">
        <f>Equivalência!C48</f>
        <v>Produto</v>
      </c>
      <c r="E48" s="51" t="str">
        <f>Equivalência!D48</f>
        <v>Produto</v>
      </c>
      <c r="F48" s="51" t="str">
        <f>Equivalência!E48</f>
        <v>Produto</v>
      </c>
      <c r="G48" s="51" t="str">
        <f>Equivalência!F48</f>
        <v>Produto</v>
      </c>
    </row>
    <row r="49" spans="1:7" ht="24.75" x14ac:dyDescent="0.45">
      <c r="A49" s="54" t="s">
        <v>38</v>
      </c>
      <c r="B49" s="55"/>
      <c r="C49" s="55">
        <f>B49</f>
        <v>0</v>
      </c>
      <c r="D49" s="55">
        <f t="shared" ref="D49:G49" si="18">C49</f>
        <v>0</v>
      </c>
      <c r="E49" s="55">
        <f t="shared" si="18"/>
        <v>0</v>
      </c>
      <c r="F49" s="55">
        <f t="shared" si="18"/>
        <v>0</v>
      </c>
      <c r="G49" s="55">
        <f t="shared" si="18"/>
        <v>0</v>
      </c>
    </row>
    <row r="50" spans="1:7" ht="24.75" x14ac:dyDescent="0.45">
      <c r="A50" s="54" t="s">
        <v>39</v>
      </c>
      <c r="B50" s="52"/>
      <c r="C50" s="52">
        <f>B50*120%</f>
        <v>0</v>
      </c>
      <c r="D50" s="52"/>
      <c r="E50" s="52"/>
      <c r="F50" s="52"/>
      <c r="G50" s="52"/>
    </row>
    <row r="51" spans="1:7" ht="24.75" x14ac:dyDescent="0.45">
      <c r="A51" s="54" t="s">
        <v>3</v>
      </c>
      <c r="B51" s="52">
        <f t="shared" ref="B51:G51" si="19">B50*B49</f>
        <v>0</v>
      </c>
      <c r="C51" s="52">
        <f t="shared" si="19"/>
        <v>0</v>
      </c>
      <c r="D51" s="52">
        <f t="shared" si="19"/>
        <v>0</v>
      </c>
      <c r="E51" s="52">
        <f t="shared" si="19"/>
        <v>0</v>
      </c>
      <c r="F51" s="52">
        <f t="shared" si="19"/>
        <v>0</v>
      </c>
      <c r="G51" s="52">
        <f t="shared" si="1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"/>
  <sheetViews>
    <sheetView showGridLines="0" zoomScale="70" zoomScaleNormal="70" workbookViewId="0">
      <selection activeCell="E13" sqref="E13"/>
    </sheetView>
  </sheetViews>
  <sheetFormatPr defaultColWidth="9.140625" defaultRowHeight="24.75" x14ac:dyDescent="0.5"/>
  <cols>
    <col min="1" max="1" width="44" style="18" customWidth="1"/>
    <col min="2" max="2" width="32" style="19" customWidth="1"/>
    <col min="3" max="7" width="26.7109375" style="19" customWidth="1"/>
    <col min="8" max="16384" width="9.140625" style="18"/>
  </cols>
  <sheetData>
    <row r="1" spans="1:18" x14ac:dyDescent="0.5">
      <c r="B1" s="19" t="str">
        <f>Equivalência!B1</f>
        <v>Amil</v>
      </c>
      <c r="C1" s="19" t="str">
        <f>'Análise Financeira CC'!C1</f>
        <v>Reajuste 20%</v>
      </c>
      <c r="D1" s="19" t="str">
        <f>Equivalência!C1</f>
        <v>Player I</v>
      </c>
      <c r="E1" s="19" t="str">
        <f>Equivalência!D1</f>
        <v>Player II</v>
      </c>
      <c r="F1" s="19" t="str">
        <f>Equivalência!E1</f>
        <v>Player III</v>
      </c>
      <c r="G1" s="19" t="str">
        <f>Equivalência!F1</f>
        <v>Player IV</v>
      </c>
      <c r="Q1" s="18" t="s">
        <v>30</v>
      </c>
      <c r="R1" s="18" t="s">
        <v>31</v>
      </c>
    </row>
    <row r="3" spans="1:18" x14ac:dyDescent="0.5">
      <c r="A3" s="20" t="s">
        <v>40</v>
      </c>
      <c r="B3" s="36">
        <f>'Análise Financeira CC'!B4+'Análise Financeira CC'!B9+'Análise Financeira CC'!B14+'Análise Financeira CC'!B19+'Análise Financeira CC'!B24+'Análise Financeira CC'!B49+'Análise Financeira CC'!B44+'Análise Financeira CC'!B39+'Análise Financeira CC'!B34+'Análise Financeira CC'!B29</f>
        <v>0</v>
      </c>
      <c r="C3" s="36">
        <f>'Análise Financeira CC'!C4+'Análise Financeira CC'!C9+'Análise Financeira CC'!C14+'Análise Financeira CC'!C19+'Análise Financeira CC'!C24+'Análise Financeira CC'!C49+'Análise Financeira CC'!C44+'Análise Financeira CC'!C39+'Análise Financeira CC'!C34+'Análise Financeira CC'!C29</f>
        <v>0</v>
      </c>
      <c r="D3" s="36">
        <f>'Análise Financeira CC'!D4+'Análise Financeira CC'!D9+'Análise Financeira CC'!D14+'Análise Financeira CC'!D19+'Análise Financeira CC'!D24+'Análise Financeira CC'!D49+'Análise Financeira CC'!D44+'Análise Financeira CC'!D39+'Análise Financeira CC'!D34+'Análise Financeira CC'!D29</f>
        <v>0</v>
      </c>
      <c r="E3" s="36">
        <f>'Análise Financeira CC'!E4+'Análise Financeira CC'!E9+'Análise Financeira CC'!E14+'Análise Financeira CC'!E19+'Análise Financeira CC'!E24+'Análise Financeira CC'!E49+'Análise Financeira CC'!E44+'Análise Financeira CC'!E39+'Análise Financeira CC'!E34+'Análise Financeira CC'!E29</f>
        <v>0</v>
      </c>
      <c r="F3" s="36">
        <f>'Análise Financeira CC'!F4+'Análise Financeira CC'!F9+'Análise Financeira CC'!F14+'Análise Financeira CC'!F19+'Análise Financeira CC'!F24+'Análise Financeira CC'!F49+'Análise Financeira CC'!F44+'Análise Financeira CC'!F39+'Análise Financeira CC'!F34+'Análise Financeira CC'!F29</f>
        <v>0</v>
      </c>
      <c r="G3" s="36">
        <f>'Análise Financeira CC'!G4+'Análise Financeira CC'!G9+'Análise Financeira CC'!G14+'Análise Financeira CC'!G19+'Análise Financeira CC'!G24+'Análise Financeira CC'!G49+'Análise Financeira CC'!G44+'Análise Financeira CC'!G39+'Análise Financeira CC'!G34+'Análise Financeira CC'!G29</f>
        <v>0</v>
      </c>
    </row>
    <row r="4" spans="1:18" x14ac:dyDescent="0.5">
      <c r="A4" s="20" t="s">
        <v>41</v>
      </c>
      <c r="B4" s="37">
        <f>'Análise Financeira CC'!B6+'Análise Financeira CC'!B11+'Análise Financeira CC'!B16+'Análise Financeira CC'!B21+'Análise Financeira CC'!B26+'Análise Financeira CC'!B51+'Análise Financeira CC'!B46+'Análise Financeira CC'!B41+'Análise Financeira CC'!B36+'Análise Financeira CC'!B31</f>
        <v>0</v>
      </c>
      <c r="C4" s="37">
        <f>'Análise Financeira CC'!C6+'Análise Financeira CC'!C11+'Análise Financeira CC'!C16+'Análise Financeira CC'!C21+'Análise Financeira CC'!C26+'Análise Financeira CC'!C51+'Análise Financeira CC'!C46+'Análise Financeira CC'!C41+'Análise Financeira CC'!C36+'Análise Financeira CC'!C31</f>
        <v>0</v>
      </c>
      <c r="D4" s="37">
        <f>'Análise Financeira CC'!D6+'Análise Financeira CC'!D11+'Análise Financeira CC'!D16+'Análise Financeira CC'!D21+'Análise Financeira CC'!D26+'Análise Financeira CC'!D51+'Análise Financeira CC'!D46+'Análise Financeira CC'!D41+'Análise Financeira CC'!D36+'Análise Financeira CC'!D31</f>
        <v>0</v>
      </c>
      <c r="E4" s="37">
        <f>'Análise Financeira CC'!E6+'Análise Financeira CC'!E11+'Análise Financeira CC'!E16+'Análise Financeira CC'!E21+'Análise Financeira CC'!E26+'Análise Financeira CC'!E51+'Análise Financeira CC'!E46+'Análise Financeira CC'!E41+'Análise Financeira CC'!E36+'Análise Financeira CC'!E31</f>
        <v>0</v>
      </c>
      <c r="F4" s="37">
        <f>'Análise Financeira CC'!F6+'Análise Financeira CC'!F11+'Análise Financeira CC'!F16+'Análise Financeira CC'!F21+'Análise Financeira CC'!F26+'Análise Financeira CC'!F51+'Análise Financeira CC'!F46+'Análise Financeira CC'!F41+'Análise Financeira CC'!F36+'Análise Financeira CC'!F31</f>
        <v>0</v>
      </c>
      <c r="G4" s="37">
        <f>'Análise Financeira CC'!G6+'Análise Financeira CC'!G11+'Análise Financeira CC'!G16+'Análise Financeira CC'!G21+'Análise Financeira CC'!G26+'Análise Financeira CC'!G51+'Análise Financeira CC'!G46+'Análise Financeira CC'!G41+'Análise Financeira CC'!G36+'Análise Financeira CC'!G31</f>
        <v>0</v>
      </c>
    </row>
    <row r="5" spans="1:18" x14ac:dyDescent="0.5">
      <c r="A5" s="20" t="s">
        <v>42</v>
      </c>
      <c r="B5" s="37">
        <f t="shared" ref="B5:G5" si="0">B4*12</f>
        <v>0</v>
      </c>
      <c r="C5" s="37">
        <f t="shared" si="0"/>
        <v>0</v>
      </c>
      <c r="D5" s="37">
        <f t="shared" si="0"/>
        <v>0</v>
      </c>
      <c r="E5" s="37">
        <f t="shared" si="0"/>
        <v>0</v>
      </c>
      <c r="F5" s="37">
        <f t="shared" si="0"/>
        <v>0</v>
      </c>
      <c r="G5" s="37">
        <f t="shared" si="0"/>
        <v>0</v>
      </c>
    </row>
    <row r="6" spans="1:18" x14ac:dyDescent="0.5">
      <c r="A6" s="21" t="s">
        <v>43</v>
      </c>
      <c r="B6" s="38"/>
      <c r="C6" s="39">
        <f>C4-B4</f>
        <v>0</v>
      </c>
      <c r="D6" s="40">
        <f t="shared" ref="D6:G6" si="1">D4-$C$4</f>
        <v>0</v>
      </c>
      <c r="E6" s="40">
        <f t="shared" si="1"/>
        <v>0</v>
      </c>
      <c r="F6" s="40">
        <f t="shared" si="1"/>
        <v>0</v>
      </c>
      <c r="G6" s="40">
        <f t="shared" si="1"/>
        <v>0</v>
      </c>
    </row>
    <row r="7" spans="1:18" x14ac:dyDescent="0.5">
      <c r="A7" s="22" t="s">
        <v>44</v>
      </c>
      <c r="B7" s="38"/>
      <c r="C7" s="39">
        <f>C5-B5</f>
        <v>0</v>
      </c>
      <c r="D7" s="40">
        <f>D5-$C$5</f>
        <v>0</v>
      </c>
      <c r="E7" s="40">
        <f>E5-$C$5</f>
        <v>0</v>
      </c>
      <c r="F7" s="40">
        <f>F5-$C$5</f>
        <v>0</v>
      </c>
      <c r="G7" s="40">
        <f>G5-$C$5</f>
        <v>0</v>
      </c>
    </row>
    <row r="8" spans="1:18" x14ac:dyDescent="0.5">
      <c r="A8" s="22" t="s">
        <v>45</v>
      </c>
      <c r="B8" s="38"/>
      <c r="C8" s="47" t="e">
        <f>C5/B5-1</f>
        <v>#DIV/0!</v>
      </c>
      <c r="D8" s="41" t="e">
        <f>D5/$C$5-1</f>
        <v>#DIV/0!</v>
      </c>
      <c r="E8" s="41" t="e">
        <f>E5/$C$5-1</f>
        <v>#DIV/0!</v>
      </c>
      <c r="F8" s="41" t="e">
        <f>F5/$C$5-1</f>
        <v>#DIV/0!</v>
      </c>
      <c r="G8" s="41" t="e">
        <f>G5/$C$5-1</f>
        <v>#DIV/0!</v>
      </c>
    </row>
  </sheetData>
  <conditionalFormatting sqref="D6:G8">
    <cfRule type="cellIs" dxfId="5" priority="1" operator="lessThan">
      <formula>0</formula>
    </cfRule>
    <cfRule type="cellIs" dxfId="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1"/>
  <sheetViews>
    <sheetView showGridLines="0" zoomScale="70" zoomScaleNormal="70" workbookViewId="0">
      <selection activeCell="J6" sqref="J6"/>
    </sheetView>
  </sheetViews>
  <sheetFormatPr defaultColWidth="9.140625" defaultRowHeight="21" x14ac:dyDescent="0.45"/>
  <cols>
    <col min="1" max="1" width="29.5703125" style="15" customWidth="1"/>
    <col min="2" max="5" width="36.5703125" style="16" customWidth="1"/>
    <col min="6" max="6" width="34.7109375" style="16" customWidth="1"/>
    <col min="7" max="7" width="31.85546875" style="16" customWidth="1"/>
    <col min="8" max="16384" width="9.140625" style="15"/>
  </cols>
  <sheetData>
    <row r="1" spans="1:18" ht="24.75" x14ac:dyDescent="0.45">
      <c r="A1" s="54"/>
      <c r="B1" s="53" t="str">
        <f>Equivalência!B1</f>
        <v>Amil</v>
      </c>
      <c r="C1" s="53" t="s">
        <v>37</v>
      </c>
      <c r="D1" s="53" t="str">
        <f>Equivalência!C1</f>
        <v>Player I</v>
      </c>
      <c r="E1" s="53" t="str">
        <f>Equivalência!D1</f>
        <v>Player II</v>
      </c>
      <c r="F1" s="53" t="str">
        <f>Equivalência!E1</f>
        <v>Player III</v>
      </c>
      <c r="G1" s="53" t="str">
        <f>Equivalência!F1</f>
        <v>Player IV</v>
      </c>
      <c r="Q1" s="15" t="s">
        <v>30</v>
      </c>
      <c r="R1" s="15" t="s">
        <v>31</v>
      </c>
    </row>
    <row r="2" spans="1:18" ht="24.75" x14ac:dyDescent="0.45">
      <c r="A2" s="54"/>
      <c r="B2" s="53"/>
      <c r="C2" s="53"/>
      <c r="D2" s="53"/>
      <c r="E2" s="53"/>
      <c r="F2" s="53"/>
      <c r="G2" s="53"/>
    </row>
    <row r="3" spans="1:18" ht="24.75" x14ac:dyDescent="0.45">
      <c r="A3" s="54" t="s">
        <v>32</v>
      </c>
      <c r="B3" s="51" t="str">
        <f>Equivalência!B3</f>
        <v>Produto 1</v>
      </c>
      <c r="C3" s="51" t="str">
        <f>B3</f>
        <v>Produto 1</v>
      </c>
      <c r="D3" s="51" t="str">
        <f>Equivalência!C3</f>
        <v>Produto</v>
      </c>
      <c r="E3" s="51" t="str">
        <f>Equivalência!D3</f>
        <v>Produto</v>
      </c>
      <c r="F3" s="51" t="str">
        <f>Equivalência!E3</f>
        <v>Produto</v>
      </c>
      <c r="G3" s="51" t="str">
        <f>Equivalência!F3</f>
        <v>Produto</v>
      </c>
    </row>
    <row r="4" spans="1:18" ht="24.75" x14ac:dyDescent="0.45">
      <c r="A4" s="54" t="s">
        <v>38</v>
      </c>
      <c r="B4" s="55">
        <f>'Análise Financeira CC'!B4</f>
        <v>0</v>
      </c>
      <c r="C4" s="55">
        <f>B4</f>
        <v>0</v>
      </c>
      <c r="D4" s="55">
        <f t="shared" ref="D4:G4" si="0">C4</f>
        <v>0</v>
      </c>
      <c r="E4" s="55">
        <f t="shared" si="0"/>
        <v>0</v>
      </c>
      <c r="F4" s="55">
        <f t="shared" si="0"/>
        <v>0</v>
      </c>
      <c r="G4" s="55">
        <f t="shared" si="0"/>
        <v>0</v>
      </c>
    </row>
    <row r="5" spans="1:18" ht="24.75" x14ac:dyDescent="0.45">
      <c r="A5" s="54" t="s">
        <v>39</v>
      </c>
      <c r="B5" s="52">
        <f>'Análise Financeira CC'!B5</f>
        <v>0</v>
      </c>
      <c r="C5" s="52">
        <f>B5*120%</f>
        <v>0</v>
      </c>
      <c r="D5" s="52"/>
      <c r="E5" s="52"/>
      <c r="F5" s="52"/>
      <c r="G5" s="52"/>
    </row>
    <row r="6" spans="1:18" ht="24.75" x14ac:dyDescent="0.45">
      <c r="A6" s="54" t="s">
        <v>3</v>
      </c>
      <c r="B6" s="52">
        <f t="shared" ref="B6:G6" si="1">B5*B4</f>
        <v>0</v>
      </c>
      <c r="C6" s="52">
        <f t="shared" si="1"/>
        <v>0</v>
      </c>
      <c r="D6" s="52">
        <f t="shared" si="1"/>
        <v>0</v>
      </c>
      <c r="E6" s="52">
        <f t="shared" si="1"/>
        <v>0</v>
      </c>
      <c r="F6" s="52">
        <f t="shared" si="1"/>
        <v>0</v>
      </c>
      <c r="G6" s="52">
        <f t="shared" si="1"/>
        <v>0</v>
      </c>
    </row>
    <row r="7" spans="1:18" ht="3.75" customHeight="1" x14ac:dyDescent="0.45">
      <c r="A7" s="54"/>
      <c r="B7" s="53"/>
      <c r="C7" s="53"/>
      <c r="D7" s="53"/>
      <c r="E7" s="53"/>
      <c r="F7" s="53"/>
      <c r="G7" s="53"/>
    </row>
    <row r="8" spans="1:18" ht="24.75" x14ac:dyDescent="0.45">
      <c r="A8" s="54" t="s">
        <v>32</v>
      </c>
      <c r="B8" s="51" t="str">
        <f>Equivalência!B8</f>
        <v>Produto 2</v>
      </c>
      <c r="C8" s="51" t="str">
        <f>B8</f>
        <v>Produto 2</v>
      </c>
      <c r="D8" s="51" t="str">
        <f>Equivalência!C8</f>
        <v>Produto</v>
      </c>
      <c r="E8" s="51" t="str">
        <f>Equivalência!D8</f>
        <v>Produto</v>
      </c>
      <c r="F8" s="51" t="str">
        <f>Equivalência!E8</f>
        <v>Produto</v>
      </c>
      <c r="G8" s="51" t="str">
        <f>Equivalência!F8</f>
        <v>Produto</v>
      </c>
    </row>
    <row r="9" spans="1:18" ht="24.75" x14ac:dyDescent="0.45">
      <c r="A9" s="54" t="s">
        <v>38</v>
      </c>
      <c r="B9" s="55">
        <f>'Análise Financeira CC'!B9</f>
        <v>0</v>
      </c>
      <c r="C9" s="55">
        <f>B9</f>
        <v>0</v>
      </c>
      <c r="D9" s="55">
        <f t="shared" ref="D9:G9" si="2">C9</f>
        <v>0</v>
      </c>
      <c r="E9" s="55">
        <f t="shared" si="2"/>
        <v>0</v>
      </c>
      <c r="F9" s="55">
        <f t="shared" si="2"/>
        <v>0</v>
      </c>
      <c r="G9" s="55">
        <f t="shared" si="2"/>
        <v>0</v>
      </c>
    </row>
    <row r="10" spans="1:18" ht="24.75" x14ac:dyDescent="0.45">
      <c r="A10" s="54" t="s">
        <v>39</v>
      </c>
      <c r="B10" s="52">
        <f>'Análise Financeira CC'!B10</f>
        <v>0</v>
      </c>
      <c r="C10" s="52">
        <f>B10*120%</f>
        <v>0</v>
      </c>
      <c r="D10" s="52"/>
      <c r="E10" s="52"/>
      <c r="F10" s="52"/>
      <c r="G10" s="52"/>
    </row>
    <row r="11" spans="1:18" ht="24.75" x14ac:dyDescent="0.45">
      <c r="A11" s="54" t="s">
        <v>3</v>
      </c>
      <c r="B11" s="52">
        <f t="shared" ref="B11:G11" si="3">B10*B9</f>
        <v>0</v>
      </c>
      <c r="C11" s="52">
        <f t="shared" si="3"/>
        <v>0</v>
      </c>
      <c r="D11" s="52">
        <f t="shared" si="3"/>
        <v>0</v>
      </c>
      <c r="E11" s="52">
        <f t="shared" si="3"/>
        <v>0</v>
      </c>
      <c r="F11" s="52">
        <f t="shared" si="3"/>
        <v>0</v>
      </c>
      <c r="G11" s="52">
        <f t="shared" si="3"/>
        <v>0</v>
      </c>
    </row>
    <row r="12" spans="1:18" ht="3.75" customHeight="1" x14ac:dyDescent="0.45">
      <c r="A12" s="54"/>
      <c r="B12" s="53"/>
      <c r="C12" s="53"/>
      <c r="D12" s="53"/>
      <c r="E12" s="53"/>
      <c r="F12" s="53"/>
      <c r="G12" s="53"/>
    </row>
    <row r="13" spans="1:18" ht="24.75" x14ac:dyDescent="0.45">
      <c r="A13" s="54" t="s">
        <v>32</v>
      </c>
      <c r="B13" s="51" t="str">
        <f>Equivalência!B13</f>
        <v>Produto 3</v>
      </c>
      <c r="C13" s="51" t="str">
        <f>B13</f>
        <v>Produto 3</v>
      </c>
      <c r="D13" s="51" t="str">
        <f>Equivalência!C13</f>
        <v>Produto</v>
      </c>
      <c r="E13" s="51" t="str">
        <f>Equivalência!D13</f>
        <v>Produto</v>
      </c>
      <c r="F13" s="51" t="str">
        <f>Equivalência!E13</f>
        <v>Produto</v>
      </c>
      <c r="G13" s="51" t="str">
        <f>Equivalência!F13</f>
        <v>Produto</v>
      </c>
    </row>
    <row r="14" spans="1:18" ht="24.75" x14ac:dyDescent="0.45">
      <c r="A14" s="54" t="s">
        <v>38</v>
      </c>
      <c r="B14" s="55">
        <f>'Análise Financeira CC'!B14</f>
        <v>0</v>
      </c>
      <c r="C14" s="55">
        <f>B14</f>
        <v>0</v>
      </c>
      <c r="D14" s="55">
        <f t="shared" ref="D14:G14" si="4">C14</f>
        <v>0</v>
      </c>
      <c r="E14" s="55">
        <f t="shared" si="4"/>
        <v>0</v>
      </c>
      <c r="F14" s="55">
        <f t="shared" si="4"/>
        <v>0</v>
      </c>
      <c r="G14" s="55">
        <f t="shared" si="4"/>
        <v>0</v>
      </c>
    </row>
    <row r="15" spans="1:18" ht="24.75" x14ac:dyDescent="0.45">
      <c r="A15" s="54" t="s">
        <v>39</v>
      </c>
      <c r="B15" s="52">
        <f>'Análise Financeira CC'!B15</f>
        <v>0</v>
      </c>
      <c r="C15" s="52">
        <f>B15*120%</f>
        <v>0</v>
      </c>
      <c r="D15" s="52"/>
      <c r="E15" s="52"/>
      <c r="F15" s="52"/>
      <c r="G15" s="52"/>
    </row>
    <row r="16" spans="1:18" ht="24.75" x14ac:dyDescent="0.45">
      <c r="A16" s="54" t="s">
        <v>3</v>
      </c>
      <c r="B16" s="52">
        <f t="shared" ref="B16:G16" si="5">B15*B14</f>
        <v>0</v>
      </c>
      <c r="C16" s="52">
        <f t="shared" si="5"/>
        <v>0</v>
      </c>
      <c r="D16" s="52">
        <f t="shared" si="5"/>
        <v>0</v>
      </c>
      <c r="E16" s="52">
        <f t="shared" si="5"/>
        <v>0</v>
      </c>
      <c r="F16" s="52">
        <f t="shared" si="5"/>
        <v>0</v>
      </c>
      <c r="G16" s="52">
        <f t="shared" si="5"/>
        <v>0</v>
      </c>
    </row>
    <row r="17" spans="1:7" ht="3.75" customHeight="1" x14ac:dyDescent="0.45">
      <c r="A17" s="54"/>
      <c r="B17" s="53"/>
      <c r="C17" s="53"/>
      <c r="D17" s="53"/>
      <c r="E17" s="53"/>
      <c r="F17" s="53"/>
      <c r="G17" s="53"/>
    </row>
    <row r="18" spans="1:7" ht="24.75" x14ac:dyDescent="0.45">
      <c r="A18" s="54" t="s">
        <v>32</v>
      </c>
      <c r="B18" s="51" t="str">
        <f>Equivalência!B18</f>
        <v>Produto 4</v>
      </c>
      <c r="C18" s="51" t="str">
        <f>B18</f>
        <v>Produto 4</v>
      </c>
      <c r="D18" s="51" t="str">
        <f>Equivalência!C18</f>
        <v>Produto</v>
      </c>
      <c r="E18" s="51" t="str">
        <f>Equivalência!D18</f>
        <v>Produto</v>
      </c>
      <c r="F18" s="51" t="str">
        <f>Equivalência!E18</f>
        <v>Produto</v>
      </c>
      <c r="G18" s="51" t="str">
        <f>Equivalência!F18</f>
        <v>Produto</v>
      </c>
    </row>
    <row r="19" spans="1:7" ht="24.75" x14ac:dyDescent="0.45">
      <c r="A19" s="54" t="s">
        <v>38</v>
      </c>
      <c r="B19" s="55">
        <f>'Análise Financeira CC'!B19</f>
        <v>0</v>
      </c>
      <c r="C19" s="55">
        <f>B19</f>
        <v>0</v>
      </c>
      <c r="D19" s="55">
        <f t="shared" ref="D19:G19" si="6">C19</f>
        <v>0</v>
      </c>
      <c r="E19" s="55">
        <f t="shared" si="6"/>
        <v>0</v>
      </c>
      <c r="F19" s="55">
        <f t="shared" si="6"/>
        <v>0</v>
      </c>
      <c r="G19" s="55">
        <f t="shared" si="6"/>
        <v>0</v>
      </c>
    </row>
    <row r="20" spans="1:7" ht="24.75" x14ac:dyDescent="0.45">
      <c r="A20" s="54" t="s">
        <v>39</v>
      </c>
      <c r="B20" s="52">
        <f>'Análise Financeira CC'!B20</f>
        <v>0</v>
      </c>
      <c r="C20" s="52">
        <f>B20*120%</f>
        <v>0</v>
      </c>
      <c r="D20" s="52"/>
      <c r="E20" s="52"/>
      <c r="F20" s="52"/>
      <c r="G20" s="52"/>
    </row>
    <row r="21" spans="1:7" ht="24.75" x14ac:dyDescent="0.45">
      <c r="A21" s="54" t="s">
        <v>3</v>
      </c>
      <c r="B21" s="52">
        <f t="shared" ref="B21:G21" si="7">B20*B19</f>
        <v>0</v>
      </c>
      <c r="C21" s="52">
        <f t="shared" si="7"/>
        <v>0</v>
      </c>
      <c r="D21" s="52">
        <f t="shared" si="7"/>
        <v>0</v>
      </c>
      <c r="E21" s="52">
        <f t="shared" si="7"/>
        <v>0</v>
      </c>
      <c r="F21" s="52">
        <f t="shared" si="7"/>
        <v>0</v>
      </c>
      <c r="G21" s="52">
        <f t="shared" si="7"/>
        <v>0</v>
      </c>
    </row>
    <row r="22" spans="1:7" ht="3.75" customHeight="1" x14ac:dyDescent="0.45">
      <c r="A22" s="54"/>
      <c r="B22" s="53"/>
      <c r="C22" s="53"/>
      <c r="D22" s="53"/>
      <c r="E22" s="53"/>
      <c r="F22" s="53"/>
      <c r="G22" s="53"/>
    </row>
    <row r="23" spans="1:7" ht="24.75" x14ac:dyDescent="0.45">
      <c r="A23" s="54" t="s">
        <v>32</v>
      </c>
      <c r="B23" s="51" t="str">
        <f>Equivalência!B23</f>
        <v>Produto 5</v>
      </c>
      <c r="C23" s="51" t="str">
        <f>B23</f>
        <v>Produto 5</v>
      </c>
      <c r="D23" s="51" t="str">
        <f>Equivalência!C23</f>
        <v>Produto</v>
      </c>
      <c r="E23" s="51" t="str">
        <f>Equivalência!D23</f>
        <v>Produto</v>
      </c>
      <c r="F23" s="51" t="str">
        <f>Equivalência!E23</f>
        <v>Produto</v>
      </c>
      <c r="G23" s="51" t="str">
        <f>Equivalência!F23</f>
        <v>Produto</v>
      </c>
    </row>
    <row r="24" spans="1:7" ht="24.75" x14ac:dyDescent="0.45">
      <c r="A24" s="54" t="s">
        <v>38</v>
      </c>
      <c r="B24" s="55">
        <f>'Análise Financeira CC'!B24</f>
        <v>0</v>
      </c>
      <c r="C24" s="55">
        <f>B24</f>
        <v>0</v>
      </c>
      <c r="D24" s="55">
        <f t="shared" ref="D24:G24" si="8">C24</f>
        <v>0</v>
      </c>
      <c r="E24" s="55">
        <f t="shared" si="8"/>
        <v>0</v>
      </c>
      <c r="F24" s="55">
        <f t="shared" si="8"/>
        <v>0</v>
      </c>
      <c r="G24" s="55">
        <f t="shared" si="8"/>
        <v>0</v>
      </c>
    </row>
    <row r="25" spans="1:7" ht="24.75" x14ac:dyDescent="0.45">
      <c r="A25" s="54" t="s">
        <v>39</v>
      </c>
      <c r="B25" s="52">
        <f>'Análise Financeira CC'!B25</f>
        <v>0</v>
      </c>
      <c r="C25" s="52">
        <f>B25*120%</f>
        <v>0</v>
      </c>
      <c r="D25" s="52"/>
      <c r="E25" s="52"/>
      <c r="F25" s="52"/>
      <c r="G25" s="52"/>
    </row>
    <row r="26" spans="1:7" ht="24.75" x14ac:dyDescent="0.45">
      <c r="A26" s="54" t="s">
        <v>3</v>
      </c>
      <c r="B26" s="52">
        <f t="shared" ref="B26:G26" si="9">B25*B24</f>
        <v>0</v>
      </c>
      <c r="C26" s="52">
        <f t="shared" si="9"/>
        <v>0</v>
      </c>
      <c r="D26" s="52">
        <f t="shared" si="9"/>
        <v>0</v>
      </c>
      <c r="E26" s="52">
        <f t="shared" si="9"/>
        <v>0</v>
      </c>
      <c r="F26" s="52">
        <f t="shared" si="9"/>
        <v>0</v>
      </c>
      <c r="G26" s="52">
        <f t="shared" si="9"/>
        <v>0</v>
      </c>
    </row>
    <row r="27" spans="1:7" ht="3.75" customHeight="1" x14ac:dyDescent="0.45">
      <c r="A27" s="54"/>
      <c r="B27" s="53"/>
      <c r="C27" s="53"/>
      <c r="D27" s="53"/>
      <c r="E27" s="53"/>
      <c r="F27" s="53"/>
      <c r="G27" s="53"/>
    </row>
    <row r="28" spans="1:7" ht="24.75" x14ac:dyDescent="0.45">
      <c r="A28" s="54" t="s">
        <v>32</v>
      </c>
      <c r="B28" s="51" t="str">
        <f>Equivalência!B28</f>
        <v>Produto 6</v>
      </c>
      <c r="C28" s="51" t="str">
        <f>B28</f>
        <v>Produto 6</v>
      </c>
      <c r="D28" s="51" t="str">
        <f>Equivalência!C28</f>
        <v>Produto</v>
      </c>
      <c r="E28" s="51" t="str">
        <f>Equivalência!D28</f>
        <v>Produto</v>
      </c>
      <c r="F28" s="51" t="str">
        <f>Equivalência!E28</f>
        <v>Produto</v>
      </c>
      <c r="G28" s="51" t="str">
        <f>Equivalência!F28</f>
        <v>Produto</v>
      </c>
    </row>
    <row r="29" spans="1:7" ht="24.75" x14ac:dyDescent="0.45">
      <c r="A29" s="54" t="s">
        <v>38</v>
      </c>
      <c r="B29" s="55">
        <f>'Análise Financeira CC'!B29</f>
        <v>0</v>
      </c>
      <c r="C29" s="55">
        <f>B29</f>
        <v>0</v>
      </c>
      <c r="D29" s="55">
        <f t="shared" ref="D29:G29" si="10">C29</f>
        <v>0</v>
      </c>
      <c r="E29" s="55">
        <f t="shared" si="10"/>
        <v>0</v>
      </c>
      <c r="F29" s="55">
        <f t="shared" si="10"/>
        <v>0</v>
      </c>
      <c r="G29" s="55">
        <f t="shared" si="10"/>
        <v>0</v>
      </c>
    </row>
    <row r="30" spans="1:7" ht="24.75" x14ac:dyDescent="0.45">
      <c r="A30" s="54" t="s">
        <v>39</v>
      </c>
      <c r="B30" s="52">
        <f>'Análise Financeira CC'!B30</f>
        <v>0</v>
      </c>
      <c r="C30" s="52">
        <f>B30*120%</f>
        <v>0</v>
      </c>
      <c r="D30" s="52"/>
      <c r="E30" s="52"/>
      <c r="F30" s="52"/>
      <c r="G30" s="52"/>
    </row>
    <row r="31" spans="1:7" ht="24.75" x14ac:dyDescent="0.45">
      <c r="A31" s="54" t="s">
        <v>3</v>
      </c>
      <c r="B31" s="52">
        <f t="shared" ref="B31:G31" si="11">B30*B29</f>
        <v>0</v>
      </c>
      <c r="C31" s="52">
        <f t="shared" si="11"/>
        <v>0</v>
      </c>
      <c r="D31" s="52">
        <f t="shared" si="11"/>
        <v>0</v>
      </c>
      <c r="E31" s="52">
        <f t="shared" si="11"/>
        <v>0</v>
      </c>
      <c r="F31" s="52">
        <f t="shared" si="11"/>
        <v>0</v>
      </c>
      <c r="G31" s="52">
        <f t="shared" si="11"/>
        <v>0</v>
      </c>
    </row>
    <row r="32" spans="1:7" ht="3.75" customHeight="1" x14ac:dyDescent="0.45">
      <c r="A32" s="54"/>
      <c r="B32" s="53"/>
      <c r="C32" s="53"/>
      <c r="D32" s="53"/>
      <c r="E32" s="53"/>
      <c r="F32" s="53"/>
      <c r="G32" s="53"/>
    </row>
    <row r="33" spans="1:7" ht="24.75" x14ac:dyDescent="0.45">
      <c r="A33" s="54" t="s">
        <v>32</v>
      </c>
      <c r="B33" s="51" t="str">
        <f>Equivalência!B33</f>
        <v>Produto 7</v>
      </c>
      <c r="C33" s="51" t="str">
        <f>B33</f>
        <v>Produto 7</v>
      </c>
      <c r="D33" s="51" t="str">
        <f>Equivalência!C33</f>
        <v>Produto</v>
      </c>
      <c r="E33" s="51" t="str">
        <f>Equivalência!D33</f>
        <v>Produto</v>
      </c>
      <c r="F33" s="51" t="str">
        <f>Equivalência!E33</f>
        <v>Produto</v>
      </c>
      <c r="G33" s="51" t="str">
        <f>Equivalência!F33</f>
        <v>Produto</v>
      </c>
    </row>
    <row r="34" spans="1:7" ht="24.75" x14ac:dyDescent="0.45">
      <c r="A34" s="54" t="s">
        <v>38</v>
      </c>
      <c r="B34" s="55">
        <f>'Análise Financeira CC'!B34</f>
        <v>0</v>
      </c>
      <c r="C34" s="55">
        <f>B34</f>
        <v>0</v>
      </c>
      <c r="D34" s="55">
        <f t="shared" ref="D34:G34" si="12">C34</f>
        <v>0</v>
      </c>
      <c r="E34" s="55">
        <f t="shared" si="12"/>
        <v>0</v>
      </c>
      <c r="F34" s="55">
        <f t="shared" si="12"/>
        <v>0</v>
      </c>
      <c r="G34" s="55">
        <f t="shared" si="12"/>
        <v>0</v>
      </c>
    </row>
    <row r="35" spans="1:7" ht="24.75" x14ac:dyDescent="0.45">
      <c r="A35" s="54" t="s">
        <v>39</v>
      </c>
      <c r="B35" s="52">
        <f>'Análise Financeira CC'!B35</f>
        <v>0</v>
      </c>
      <c r="C35" s="52">
        <f>B35*120%</f>
        <v>0</v>
      </c>
      <c r="D35" s="52"/>
      <c r="E35" s="52"/>
      <c r="F35" s="52"/>
      <c r="G35" s="52"/>
    </row>
    <row r="36" spans="1:7" ht="24.75" x14ac:dyDescent="0.45">
      <c r="A36" s="54" t="s">
        <v>3</v>
      </c>
      <c r="B36" s="52">
        <f t="shared" ref="B36:G36" si="13">B35*B34</f>
        <v>0</v>
      </c>
      <c r="C36" s="52">
        <f t="shared" si="13"/>
        <v>0</v>
      </c>
      <c r="D36" s="52">
        <f t="shared" si="13"/>
        <v>0</v>
      </c>
      <c r="E36" s="52">
        <f t="shared" si="13"/>
        <v>0</v>
      </c>
      <c r="F36" s="52">
        <f t="shared" si="13"/>
        <v>0</v>
      </c>
      <c r="G36" s="52">
        <f t="shared" si="13"/>
        <v>0</v>
      </c>
    </row>
    <row r="37" spans="1:7" ht="3.75" customHeight="1" x14ac:dyDescent="0.45">
      <c r="A37" s="54"/>
      <c r="B37" s="53"/>
      <c r="C37" s="53"/>
      <c r="D37" s="53"/>
      <c r="E37" s="53"/>
      <c r="F37" s="53"/>
      <c r="G37" s="53"/>
    </row>
    <row r="38" spans="1:7" ht="24.75" x14ac:dyDescent="0.45">
      <c r="A38" s="54" t="s">
        <v>32</v>
      </c>
      <c r="B38" s="51" t="str">
        <f>Equivalência!B38</f>
        <v>Produto 8</v>
      </c>
      <c r="C38" s="51" t="str">
        <f>B38</f>
        <v>Produto 8</v>
      </c>
      <c r="D38" s="51" t="str">
        <f>Equivalência!C38</f>
        <v>Produto</v>
      </c>
      <c r="E38" s="51" t="str">
        <f>Equivalência!D38</f>
        <v>Produto</v>
      </c>
      <c r="F38" s="51" t="str">
        <f>Equivalência!E38</f>
        <v>Produto</v>
      </c>
      <c r="G38" s="51" t="str">
        <f>Equivalência!F38</f>
        <v>Produto</v>
      </c>
    </row>
    <row r="39" spans="1:7" ht="24.75" x14ac:dyDescent="0.45">
      <c r="A39" s="54" t="s">
        <v>38</v>
      </c>
      <c r="B39" s="55">
        <f>'Análise Financeira CC'!B39</f>
        <v>0</v>
      </c>
      <c r="C39" s="55">
        <f>B39</f>
        <v>0</v>
      </c>
      <c r="D39" s="55">
        <f t="shared" ref="D39:G39" si="14">C39</f>
        <v>0</v>
      </c>
      <c r="E39" s="55">
        <f t="shared" si="14"/>
        <v>0</v>
      </c>
      <c r="F39" s="55">
        <f t="shared" si="14"/>
        <v>0</v>
      </c>
      <c r="G39" s="55">
        <f t="shared" si="14"/>
        <v>0</v>
      </c>
    </row>
    <row r="40" spans="1:7" ht="24.75" x14ac:dyDescent="0.45">
      <c r="A40" s="54" t="s">
        <v>39</v>
      </c>
      <c r="B40" s="52">
        <f>'Análise Financeira CC'!B40</f>
        <v>0</v>
      </c>
      <c r="C40" s="52">
        <f>B40*120%</f>
        <v>0</v>
      </c>
      <c r="D40" s="52"/>
      <c r="E40" s="52"/>
      <c r="F40" s="52"/>
      <c r="G40" s="52"/>
    </row>
    <row r="41" spans="1:7" ht="24.75" x14ac:dyDescent="0.45">
      <c r="A41" s="54" t="s">
        <v>3</v>
      </c>
      <c r="B41" s="52">
        <f t="shared" ref="B41:G41" si="15">B40*B39</f>
        <v>0</v>
      </c>
      <c r="C41" s="52">
        <f t="shared" si="15"/>
        <v>0</v>
      </c>
      <c r="D41" s="52">
        <f t="shared" si="15"/>
        <v>0</v>
      </c>
      <c r="E41" s="52">
        <f t="shared" si="15"/>
        <v>0</v>
      </c>
      <c r="F41" s="52">
        <f t="shared" si="15"/>
        <v>0</v>
      </c>
      <c r="G41" s="52">
        <f t="shared" si="15"/>
        <v>0</v>
      </c>
    </row>
    <row r="42" spans="1:7" ht="3.75" customHeight="1" x14ac:dyDescent="0.45">
      <c r="A42" s="54"/>
      <c r="B42" s="53"/>
      <c r="C42" s="53"/>
      <c r="D42" s="53"/>
      <c r="E42" s="53"/>
      <c r="F42" s="53"/>
      <c r="G42" s="53"/>
    </row>
    <row r="43" spans="1:7" ht="24.75" x14ac:dyDescent="0.45">
      <c r="A43" s="54" t="s">
        <v>32</v>
      </c>
      <c r="B43" s="51" t="str">
        <f>Equivalência!B43</f>
        <v>Produto 9</v>
      </c>
      <c r="C43" s="51" t="str">
        <f>B43</f>
        <v>Produto 9</v>
      </c>
      <c r="D43" s="51" t="str">
        <f>Equivalência!C43</f>
        <v>Produto</v>
      </c>
      <c r="E43" s="51" t="str">
        <f>Equivalência!D43</f>
        <v>Produto</v>
      </c>
      <c r="F43" s="51" t="str">
        <f>Equivalência!E43</f>
        <v>Produto</v>
      </c>
      <c r="G43" s="51" t="str">
        <f>Equivalência!F43</f>
        <v>Produto</v>
      </c>
    </row>
    <row r="44" spans="1:7" ht="24.75" x14ac:dyDescent="0.45">
      <c r="A44" s="54" t="s">
        <v>38</v>
      </c>
      <c r="B44" s="55">
        <f>'Análise Financeira CC'!B44</f>
        <v>0</v>
      </c>
      <c r="C44" s="55">
        <f>B44</f>
        <v>0</v>
      </c>
      <c r="D44" s="55">
        <f t="shared" ref="D44:G44" si="16">C44</f>
        <v>0</v>
      </c>
      <c r="E44" s="55">
        <f t="shared" si="16"/>
        <v>0</v>
      </c>
      <c r="F44" s="55">
        <f t="shared" si="16"/>
        <v>0</v>
      </c>
      <c r="G44" s="55">
        <f t="shared" si="16"/>
        <v>0</v>
      </c>
    </row>
    <row r="45" spans="1:7" ht="24.75" x14ac:dyDescent="0.45">
      <c r="A45" s="54" t="s">
        <v>39</v>
      </c>
      <c r="B45" s="52">
        <f>'Análise Financeira CC'!B45</f>
        <v>0</v>
      </c>
      <c r="C45" s="52">
        <f>B45*120%</f>
        <v>0</v>
      </c>
      <c r="D45" s="52"/>
      <c r="E45" s="52"/>
      <c r="F45" s="52"/>
      <c r="G45" s="52"/>
    </row>
    <row r="46" spans="1:7" ht="24.75" x14ac:dyDescent="0.45">
      <c r="A46" s="54" t="s">
        <v>3</v>
      </c>
      <c r="B46" s="52">
        <f t="shared" ref="B46:G46" si="17">B45*B44</f>
        <v>0</v>
      </c>
      <c r="C46" s="52">
        <f t="shared" si="17"/>
        <v>0</v>
      </c>
      <c r="D46" s="52">
        <f t="shared" si="17"/>
        <v>0</v>
      </c>
      <c r="E46" s="52">
        <f t="shared" si="17"/>
        <v>0</v>
      </c>
      <c r="F46" s="52">
        <f t="shared" si="17"/>
        <v>0</v>
      </c>
      <c r="G46" s="52">
        <f t="shared" si="17"/>
        <v>0</v>
      </c>
    </row>
    <row r="47" spans="1:7" ht="3.75" customHeight="1" x14ac:dyDescent="0.45">
      <c r="A47" s="54"/>
      <c r="B47" s="53"/>
      <c r="C47" s="53"/>
      <c r="D47" s="53"/>
      <c r="E47" s="53"/>
      <c r="F47" s="53"/>
      <c r="G47" s="53"/>
    </row>
    <row r="48" spans="1:7" ht="24.75" x14ac:dyDescent="0.45">
      <c r="A48" s="54" t="s">
        <v>32</v>
      </c>
      <c r="B48" s="51" t="str">
        <f>Equivalência!B48</f>
        <v>Produto 10</v>
      </c>
      <c r="C48" s="51" t="str">
        <f>B48</f>
        <v>Produto 10</v>
      </c>
      <c r="D48" s="51" t="str">
        <f>Equivalência!C48</f>
        <v>Produto</v>
      </c>
      <c r="E48" s="51" t="str">
        <f>Equivalência!D48</f>
        <v>Produto</v>
      </c>
      <c r="F48" s="51" t="str">
        <f>Equivalência!E48</f>
        <v>Produto</v>
      </c>
      <c r="G48" s="51" t="str">
        <f>Equivalência!F48</f>
        <v>Produto</v>
      </c>
    </row>
    <row r="49" spans="1:7" ht="24.75" x14ac:dyDescent="0.45">
      <c r="A49" s="54" t="s">
        <v>38</v>
      </c>
      <c r="B49" s="55">
        <f>'Análise Financeira CC'!B49</f>
        <v>0</v>
      </c>
      <c r="C49" s="55">
        <f>B49</f>
        <v>0</v>
      </c>
      <c r="D49" s="55">
        <f t="shared" ref="D49:G49" si="18">C49</f>
        <v>0</v>
      </c>
      <c r="E49" s="55">
        <f t="shared" si="18"/>
        <v>0</v>
      </c>
      <c r="F49" s="55">
        <f t="shared" si="18"/>
        <v>0</v>
      </c>
      <c r="G49" s="55">
        <f t="shared" si="18"/>
        <v>0</v>
      </c>
    </row>
    <row r="50" spans="1:7" ht="24.75" x14ac:dyDescent="0.45">
      <c r="A50" s="54" t="s">
        <v>39</v>
      </c>
      <c r="B50" s="52">
        <f>'Análise Financeira CC'!B50</f>
        <v>0</v>
      </c>
      <c r="C50" s="52">
        <f>B50*120%</f>
        <v>0</v>
      </c>
      <c r="D50" s="52"/>
      <c r="E50" s="52"/>
      <c r="F50" s="52"/>
      <c r="G50" s="52"/>
    </row>
    <row r="51" spans="1:7" ht="24.75" x14ac:dyDescent="0.45">
      <c r="A51" s="54" t="s">
        <v>3</v>
      </c>
      <c r="B51" s="52">
        <f t="shared" ref="B51:G51" si="19">B50*B49</f>
        <v>0</v>
      </c>
      <c r="C51" s="52">
        <f t="shared" si="19"/>
        <v>0</v>
      </c>
      <c r="D51" s="52">
        <f t="shared" si="19"/>
        <v>0</v>
      </c>
      <c r="E51" s="52">
        <f t="shared" si="19"/>
        <v>0</v>
      </c>
      <c r="F51" s="52">
        <f t="shared" si="19"/>
        <v>0</v>
      </c>
      <c r="G51" s="52">
        <f t="shared" si="1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"/>
  <sheetViews>
    <sheetView showGridLines="0" zoomScale="70" zoomScaleNormal="70" workbookViewId="0">
      <selection activeCell="J22" sqref="J22"/>
    </sheetView>
  </sheetViews>
  <sheetFormatPr defaultColWidth="9.140625" defaultRowHeight="24.75" x14ac:dyDescent="0.5"/>
  <cols>
    <col min="1" max="1" width="44" style="18" customWidth="1"/>
    <col min="2" max="2" width="32" style="19" customWidth="1"/>
    <col min="3" max="7" width="26.7109375" style="19" customWidth="1"/>
    <col min="8" max="16384" width="9.140625" style="18"/>
  </cols>
  <sheetData>
    <row r="1" spans="1:18" x14ac:dyDescent="0.5">
      <c r="B1" s="19" t="str">
        <f>Equivalência!B1</f>
        <v>Amil</v>
      </c>
      <c r="C1" s="19" t="str">
        <f>'Análise Financeira SC'!C1</f>
        <v>Reajuste 20%</v>
      </c>
      <c r="D1" s="19" t="str">
        <f>Equivalência!C1</f>
        <v>Player I</v>
      </c>
      <c r="E1" s="19" t="str">
        <f>Equivalência!D1</f>
        <v>Player II</v>
      </c>
      <c r="F1" s="19" t="str">
        <f>Equivalência!E1</f>
        <v>Player III</v>
      </c>
      <c r="G1" s="19" t="str">
        <f>Equivalência!F1</f>
        <v>Player IV</v>
      </c>
      <c r="Q1" s="18" t="s">
        <v>30</v>
      </c>
      <c r="R1" s="18" t="s">
        <v>31</v>
      </c>
    </row>
    <row r="3" spans="1:18" x14ac:dyDescent="0.5">
      <c r="A3" s="20" t="s">
        <v>40</v>
      </c>
      <c r="B3" s="36">
        <f>'Análise Financeira SC'!B4+'Análise Financeira SC'!B9+'Análise Financeira SC'!B14+'Análise Financeira SC'!B19+'Análise Financeira SC'!B24+'Análise Financeira SC'!B49+'Análise Financeira SC'!B44+'Análise Financeira SC'!B39+'Análise Financeira SC'!B34+'Análise Financeira SC'!B29</f>
        <v>0</v>
      </c>
      <c r="C3" s="36">
        <f>'Análise Financeira SC'!C4+'Análise Financeira SC'!C9+'Análise Financeira SC'!C14+'Análise Financeira SC'!C19+'Análise Financeira SC'!C24+'Análise Financeira SC'!C49+'Análise Financeira SC'!C44+'Análise Financeira SC'!C39+'Análise Financeira SC'!C34+'Análise Financeira SC'!C29</f>
        <v>0</v>
      </c>
      <c r="D3" s="36">
        <f>'Análise Financeira SC'!D4+'Análise Financeira SC'!D9+'Análise Financeira SC'!D14+'Análise Financeira SC'!D19+'Análise Financeira SC'!D24+'Análise Financeira SC'!D49+'Análise Financeira SC'!D44+'Análise Financeira SC'!D39+'Análise Financeira SC'!D34+'Análise Financeira SC'!D29</f>
        <v>0</v>
      </c>
      <c r="E3" s="36">
        <f>'Análise Financeira SC'!E4+'Análise Financeira SC'!E9+'Análise Financeira SC'!E14+'Análise Financeira SC'!E19+'Análise Financeira SC'!E24+'Análise Financeira SC'!E49+'Análise Financeira SC'!E44+'Análise Financeira SC'!E39+'Análise Financeira SC'!E34+'Análise Financeira SC'!E29</f>
        <v>0</v>
      </c>
      <c r="F3" s="36">
        <f>'Análise Financeira SC'!F4+'Análise Financeira SC'!F9+'Análise Financeira SC'!F14+'Análise Financeira SC'!F19+'Análise Financeira SC'!F24+'Análise Financeira SC'!F49+'Análise Financeira SC'!F44+'Análise Financeira SC'!F39+'Análise Financeira SC'!F34+'Análise Financeira SC'!F29</f>
        <v>0</v>
      </c>
      <c r="G3" s="36">
        <f>'Análise Financeira SC'!G4+'Análise Financeira SC'!G9+'Análise Financeira SC'!G14+'Análise Financeira SC'!G19+'Análise Financeira SC'!G24+'Análise Financeira SC'!G49+'Análise Financeira SC'!G44+'Análise Financeira SC'!G39+'Análise Financeira SC'!G34+'Análise Financeira SC'!G29</f>
        <v>0</v>
      </c>
    </row>
    <row r="4" spans="1:18" x14ac:dyDescent="0.5">
      <c r="A4" s="20" t="s">
        <v>41</v>
      </c>
      <c r="B4" s="37">
        <f>'Análise Financeira SC'!B6+'Análise Financeira SC'!B11+'Análise Financeira SC'!B16+'Análise Financeira SC'!B21+'Análise Financeira SC'!B26+'Análise Financeira SC'!B51+'Análise Financeira SC'!B46+'Análise Financeira SC'!B41+'Análise Financeira SC'!B36+'Análise Financeira SC'!B31</f>
        <v>0</v>
      </c>
      <c r="C4" s="37">
        <f>'Análise Financeira SC'!C6+'Análise Financeira SC'!C11+'Análise Financeira SC'!C16+'Análise Financeira SC'!C21+'Análise Financeira SC'!C26+'Análise Financeira SC'!C51+'Análise Financeira SC'!C46+'Análise Financeira SC'!C41+'Análise Financeira SC'!C36+'Análise Financeira SC'!C31</f>
        <v>0</v>
      </c>
      <c r="D4" s="37">
        <f>'Análise Financeira SC'!D6+'Análise Financeira SC'!D11+'Análise Financeira SC'!D16+'Análise Financeira SC'!D21+'Análise Financeira SC'!D26+'Análise Financeira SC'!D51+'Análise Financeira SC'!D46+'Análise Financeira SC'!D41+'Análise Financeira SC'!D36+'Análise Financeira SC'!D31</f>
        <v>0</v>
      </c>
      <c r="E4" s="37">
        <f>'Análise Financeira SC'!E6+'Análise Financeira SC'!E11+'Análise Financeira SC'!E16+'Análise Financeira SC'!E21+'Análise Financeira SC'!E26+'Análise Financeira SC'!E51+'Análise Financeira SC'!E46+'Análise Financeira SC'!E41+'Análise Financeira SC'!E36+'Análise Financeira SC'!E31</f>
        <v>0</v>
      </c>
      <c r="F4" s="37">
        <f>'Análise Financeira SC'!F6+'Análise Financeira SC'!F11+'Análise Financeira SC'!F16+'Análise Financeira SC'!F21+'Análise Financeira SC'!F26+'Análise Financeira SC'!F51+'Análise Financeira SC'!F46+'Análise Financeira SC'!F41+'Análise Financeira SC'!F36+'Análise Financeira SC'!F31</f>
        <v>0</v>
      </c>
      <c r="G4" s="37">
        <f>'Análise Financeira SC'!G6+'Análise Financeira SC'!G11+'Análise Financeira SC'!G16+'Análise Financeira SC'!G21+'Análise Financeira SC'!G26+'Análise Financeira SC'!G51+'Análise Financeira SC'!G46+'Análise Financeira SC'!G41+'Análise Financeira SC'!G36+'Análise Financeira SC'!G31</f>
        <v>0</v>
      </c>
    </row>
    <row r="5" spans="1:18" x14ac:dyDescent="0.5">
      <c r="A5" s="20" t="s">
        <v>42</v>
      </c>
      <c r="B5" s="37">
        <f t="shared" ref="B5:G5" si="0">B4*12</f>
        <v>0</v>
      </c>
      <c r="C5" s="37">
        <f t="shared" si="0"/>
        <v>0</v>
      </c>
      <c r="D5" s="37">
        <f t="shared" si="0"/>
        <v>0</v>
      </c>
      <c r="E5" s="37">
        <f t="shared" si="0"/>
        <v>0</v>
      </c>
      <c r="F5" s="37">
        <f t="shared" si="0"/>
        <v>0</v>
      </c>
      <c r="G5" s="37">
        <f t="shared" si="0"/>
        <v>0</v>
      </c>
    </row>
    <row r="6" spans="1:18" x14ac:dyDescent="0.5">
      <c r="A6" s="21" t="s">
        <v>43</v>
      </c>
      <c r="B6" s="38"/>
      <c r="C6" s="39">
        <f>C4-B4</f>
        <v>0</v>
      </c>
      <c r="D6" s="40">
        <f t="shared" ref="D6:G6" si="1">D4-$C$4</f>
        <v>0</v>
      </c>
      <c r="E6" s="40">
        <f t="shared" si="1"/>
        <v>0</v>
      </c>
      <c r="F6" s="40">
        <f t="shared" si="1"/>
        <v>0</v>
      </c>
      <c r="G6" s="40">
        <f t="shared" si="1"/>
        <v>0</v>
      </c>
    </row>
    <row r="7" spans="1:18" x14ac:dyDescent="0.5">
      <c r="A7" s="22" t="s">
        <v>44</v>
      </c>
      <c r="B7" s="38"/>
      <c r="C7" s="39">
        <f>C5-B5</f>
        <v>0</v>
      </c>
      <c r="D7" s="40">
        <f>D5-$C$5</f>
        <v>0</v>
      </c>
      <c r="E7" s="40">
        <f>E5-$C$5</f>
        <v>0</v>
      </c>
      <c r="F7" s="40">
        <f>F5-$C$5</f>
        <v>0</v>
      </c>
      <c r="G7" s="40">
        <f>G5-$C$5</f>
        <v>0</v>
      </c>
    </row>
    <row r="8" spans="1:18" x14ac:dyDescent="0.5">
      <c r="A8" s="22" t="s">
        <v>45</v>
      </c>
      <c r="B8" s="38"/>
      <c r="C8" s="47" t="e">
        <f>C5/B5-1</f>
        <v>#DIV/0!</v>
      </c>
      <c r="D8" s="41" t="e">
        <f>D5/$C$5-1</f>
        <v>#DIV/0!</v>
      </c>
      <c r="E8" s="41" t="e">
        <f>E5/$C$5-1</f>
        <v>#DIV/0!</v>
      </c>
      <c r="F8" s="41" t="e">
        <f>F5/$C$5-1</f>
        <v>#DIV/0!</v>
      </c>
      <c r="G8" s="41" t="e">
        <f>G5/$C$5-1</f>
        <v>#DIV/0!</v>
      </c>
    </row>
  </sheetData>
  <conditionalFormatting sqref="D6:G8">
    <cfRule type="cellIs" dxfId="3" priority="1" operator="lessThan">
      <formula>0</formula>
    </cfRule>
    <cfRule type="cellIs" dxfId="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AF7F-03B8-420D-94D3-5BBBD048293D}">
  <dimension ref="A1:F11"/>
  <sheetViews>
    <sheetView showGridLines="0" workbookViewId="0">
      <selection activeCell="E2" sqref="E2"/>
    </sheetView>
  </sheetViews>
  <sheetFormatPr defaultRowHeight="15" x14ac:dyDescent="0.25"/>
  <cols>
    <col min="1" max="3" width="28.140625" customWidth="1"/>
    <col min="4" max="4" width="50.7109375" bestFit="1" customWidth="1"/>
    <col min="5" max="5" width="28.140625" customWidth="1"/>
  </cols>
  <sheetData>
    <row r="1" spans="1:6" ht="29.25" customHeight="1" x14ac:dyDescent="0.25">
      <c r="A1" s="44" t="s">
        <v>48</v>
      </c>
      <c r="B1" s="44" t="s">
        <v>49</v>
      </c>
      <c r="C1" s="44" t="s">
        <v>50</v>
      </c>
      <c r="D1" s="46" t="s">
        <v>53</v>
      </c>
      <c r="F1" s="42"/>
    </row>
    <row r="2" spans="1:6" ht="28.5" customHeight="1" x14ac:dyDescent="0.25">
      <c r="A2" s="43"/>
      <c r="B2" s="43"/>
      <c r="C2" s="45">
        <f>A2-B2</f>
        <v>0</v>
      </c>
      <c r="D2" s="45">
        <f>C2*9</f>
        <v>0</v>
      </c>
    </row>
    <row r="3" spans="1:6" ht="28.5" customHeight="1" x14ac:dyDescent="0.25"/>
    <row r="4" spans="1:6" ht="28.5" customHeight="1" x14ac:dyDescent="0.25">
      <c r="A4" s="44" t="s">
        <v>48</v>
      </c>
      <c r="B4" s="44" t="s">
        <v>49</v>
      </c>
      <c r="C4" s="44" t="s">
        <v>52</v>
      </c>
      <c r="D4" s="44" t="s">
        <v>55</v>
      </c>
    </row>
    <row r="5" spans="1:6" ht="28.5" customHeight="1" x14ac:dyDescent="0.25">
      <c r="A5" s="43">
        <f>A2*113%</f>
        <v>0</v>
      </c>
      <c r="B5" s="43">
        <f>B2</f>
        <v>0</v>
      </c>
      <c r="C5" s="45">
        <f>A5-B5</f>
        <v>0</v>
      </c>
      <c r="D5" s="45">
        <f>C5*12</f>
        <v>0</v>
      </c>
    </row>
    <row r="6" spans="1:6" ht="27.75" customHeight="1" x14ac:dyDescent="0.25"/>
    <row r="7" spans="1:6" ht="29.25" customHeight="1" x14ac:dyDescent="0.25">
      <c r="A7" s="44" t="s">
        <v>48</v>
      </c>
      <c r="B7" s="44" t="s">
        <v>49</v>
      </c>
      <c r="C7" s="44" t="s">
        <v>51</v>
      </c>
      <c r="D7" s="44" t="s">
        <v>56</v>
      </c>
    </row>
    <row r="8" spans="1:6" ht="30.75" customHeight="1" x14ac:dyDescent="0.25">
      <c r="A8" s="43">
        <f>A5*113%</f>
        <v>0</v>
      </c>
      <c r="B8" s="43">
        <f>B2</f>
        <v>0</v>
      </c>
      <c r="C8" s="45">
        <f>A8-B8</f>
        <v>0</v>
      </c>
      <c r="D8" s="45">
        <f>C8*12</f>
        <v>0</v>
      </c>
    </row>
    <row r="10" spans="1:6" ht="27" customHeight="1" x14ac:dyDescent="0.25">
      <c r="D10" s="44" t="s">
        <v>54</v>
      </c>
    </row>
    <row r="11" spans="1:6" ht="31.5" customHeight="1" x14ac:dyDescent="0.25">
      <c r="D11" s="45">
        <f>D5+D8</f>
        <v>0</v>
      </c>
    </row>
  </sheetData>
  <conditionalFormatting sqref="C2:D2 C5:D5 C8:D8 D11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fadd8a-64de-4497-9d6c-e7b64e5c8f6e" xsi:nil="true"/>
    <lcf76f155ced4ddcb4097134ff3c332f xmlns="fd24a280-74f3-47a6-9e70-c2d95067e880">
      <Terms xmlns="http://schemas.microsoft.com/office/infopath/2007/PartnerControls"/>
    </lcf76f155ced4ddcb4097134ff3c332f>
    <_Flow_SignoffStatus xmlns="fd24a280-74f3-47a6-9e70-c2d95067e8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9007721FAD6842ADF2A47349318758" ma:contentTypeVersion="19" ma:contentTypeDescription="Crie um novo documento." ma:contentTypeScope="" ma:versionID="c43983c2e6eee3ab8dbb069dd9c3ef0a">
  <xsd:schema xmlns:xsd="http://www.w3.org/2001/XMLSchema" xmlns:xs="http://www.w3.org/2001/XMLSchema" xmlns:p="http://schemas.microsoft.com/office/2006/metadata/properties" xmlns:ns2="fd24a280-74f3-47a6-9e70-c2d95067e880" xmlns:ns3="84fadd8a-64de-4497-9d6c-e7b64e5c8f6e" targetNamespace="http://schemas.microsoft.com/office/2006/metadata/properties" ma:root="true" ma:fieldsID="cb7fb18389008972fed217ef0c18dc80" ns2:_="" ns3:_="">
    <xsd:import namespace="fd24a280-74f3-47a6-9e70-c2d95067e880"/>
    <xsd:import namespace="84fadd8a-64de-4497-9d6c-e7b64e5c8f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a280-74f3-47a6-9e70-c2d95067e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1fd892-d93e-4a1b-ac0b-3fb0c8fb30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add8a-64de-4497-9d6c-e7b64e5c8f6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76455c-8126-46eb-a2b6-dac90eaebfc2}" ma:internalName="TaxCatchAll" ma:showField="CatchAllData" ma:web="84fadd8a-64de-4497-9d6c-e7b64e5c8f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690AEB-952F-4B42-8DE9-17821520E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33C9D0-B9FB-4CE9-AE76-C52D99CECE73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fd24a280-74f3-47a6-9e70-c2d95067e880"/>
    <ds:schemaRef ds:uri="http://purl.org/dc/dcmitype/"/>
    <ds:schemaRef ds:uri="http://schemas.microsoft.com/office/infopath/2007/PartnerControls"/>
    <ds:schemaRef ds:uri="84fadd8a-64de-4497-9d6c-e7b64e5c8f6e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BEF0D35-B9F1-4446-A946-241F0953FE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Produtos Atuais</vt:lpstr>
      <vt:lpstr>Elegibilidade</vt:lpstr>
      <vt:lpstr>Faixa Etária</vt:lpstr>
      <vt:lpstr>Equivalência</vt:lpstr>
      <vt:lpstr>Análise Financeira CC</vt:lpstr>
      <vt:lpstr>Impacto Financeiro CC</vt:lpstr>
      <vt:lpstr>Análise Financeira SC</vt:lpstr>
      <vt:lpstr>Impacto Financeiro SC</vt:lpstr>
      <vt:lpstr>Economia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Henrique Freire</dc:creator>
  <cp:lastModifiedBy>Karen Medeiros</cp:lastModifiedBy>
  <dcterms:created xsi:type="dcterms:W3CDTF">2018-10-29T20:10:21Z</dcterms:created>
  <dcterms:modified xsi:type="dcterms:W3CDTF">2025-09-19T12:30:24Z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0x0101003A9007721FAD6842ADF2A47349318758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